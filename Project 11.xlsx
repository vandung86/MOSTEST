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ICI Documents\MOS\MOS_HOCICT\MOS 2019\MOS_BOOK_CONTENT\Projects\"/>
    </mc:Choice>
  </mc:AlternateContent>
  <xr:revisionPtr revIDLastSave="0" documentId="13_ncr:1_{6F55436E-38AD-44EA-A952-7EBA13056065}" xr6:coauthVersionLast="47" xr6:coauthVersionMax="47" xr10:uidLastSave="{00000000-0000-0000-0000-000000000000}"/>
  <bookViews>
    <workbookView xWindow="0" yWindow="12" windowWidth="23040" windowHeight="9240" activeTab="1" xr2:uid="{E41D1953-61E6-4545-9B70-76B4283690B2}"/>
  </bookViews>
  <sheets>
    <sheet name="Bank Deposits" sheetId="1" r:id="rId1"/>
    <sheet name="Installments" sheetId="2" r:id="rId2"/>
    <sheet name="Customers" sheetId="3" r:id="rId3"/>
    <sheet name="Gender" sheetId="4" r:id="rId4"/>
    <sheet name="Archive" sheetId="5" r:id="rId5"/>
  </sheets>
  <definedNames>
    <definedName name="_xlnm._FilterDatabase" localSheetId="2" hidden="1">Customers!$A$1:$J$51</definedName>
    <definedName name="Discount2008">#REF!</definedName>
    <definedName name="Discount2009">#REF!</definedName>
    <definedName name="SUPPLIER_NAME">Table3[[#All],[Last Name]]</definedName>
    <definedName name="SupplierOrde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H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3" i="1"/>
  <c r="O3" i="3"/>
  <c r="O2" i="3"/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2" i="3"/>
  <c r="A20" i="2"/>
  <c r="B19" i="2"/>
  <c r="B20" i="2" s="1"/>
  <c r="F14" i="2"/>
  <c r="F8" i="2"/>
  <c r="F16" i="2" s="1"/>
  <c r="C8" i="2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C10" i="2" l="1"/>
  <c r="C19" i="2" s="1"/>
  <c r="E20" i="2" s="1"/>
  <c r="H2" i="1"/>
  <c r="I2" i="1" s="1"/>
  <c r="C3" i="1" s="1"/>
  <c r="I3" i="1" s="1"/>
  <c r="C4" i="1" s="1"/>
  <c r="C16" i="2"/>
  <c r="D20" i="2"/>
  <c r="B15" i="2"/>
  <c r="O8" i="3"/>
  <c r="O11" i="3"/>
  <c r="O9" i="3"/>
  <c r="O10" i="3"/>
  <c r="O7" i="3"/>
  <c r="A21" i="2"/>
  <c r="B21" i="2"/>
  <c r="B16" i="2"/>
  <c r="D21" i="2" l="1"/>
  <c r="F20" i="2"/>
  <c r="C20" i="2"/>
  <c r="E21" i="2" s="1"/>
  <c r="D22" i="2"/>
  <c r="B22" i="2"/>
  <c r="A22" i="2"/>
  <c r="H4" i="1"/>
  <c r="I4" i="1" s="1"/>
  <c r="C5" i="1" s="1"/>
  <c r="C21" i="2" l="1"/>
  <c r="E22" i="2" s="1"/>
  <c r="B23" i="2"/>
  <c r="A23" i="2"/>
  <c r="D23" i="2"/>
  <c r="H5" i="1"/>
  <c r="I5" i="1" s="1"/>
  <c r="C6" i="1" s="1"/>
  <c r="C22" i="2" l="1"/>
  <c r="E23" i="2" s="1"/>
  <c r="D24" i="2"/>
  <c r="A24" i="2"/>
  <c r="B24" i="2"/>
  <c r="H6" i="1"/>
  <c r="I6" i="1" s="1"/>
  <c r="C7" i="1" s="1"/>
  <c r="C23" i="2" l="1"/>
  <c r="E24" i="2" s="1"/>
  <c r="D25" i="2"/>
  <c r="A25" i="2"/>
  <c r="B25" i="2"/>
  <c r="H7" i="1"/>
  <c r="I7" i="1" s="1"/>
  <c r="C8" i="1" s="1"/>
  <c r="C24" i="2" l="1"/>
  <c r="E25" i="2" s="1"/>
  <c r="B26" i="2"/>
  <c r="A26" i="2"/>
  <c r="D26" i="2"/>
  <c r="H8" i="1"/>
  <c r="I8" i="1" s="1"/>
  <c r="C9" i="1" s="1"/>
  <c r="C25" i="2" l="1"/>
  <c r="E26" i="2" s="1"/>
  <c r="B27" i="2"/>
  <c r="D27" i="2"/>
  <c r="A27" i="2"/>
  <c r="H9" i="1"/>
  <c r="I9" i="1" s="1"/>
  <c r="C10" i="1" s="1"/>
  <c r="C26" i="2" l="1"/>
  <c r="E27" i="2" s="1"/>
  <c r="A28" i="2"/>
  <c r="B28" i="2"/>
  <c r="D28" i="2"/>
  <c r="H10" i="1"/>
  <c r="I10" i="1" s="1"/>
  <c r="C11" i="1" s="1"/>
  <c r="C27" i="2" l="1"/>
  <c r="E28" i="2" s="1"/>
  <c r="D29" i="2"/>
  <c r="B29" i="2"/>
  <c r="A29" i="2"/>
  <c r="H11" i="1"/>
  <c r="I11" i="1" s="1"/>
  <c r="C12" i="1" s="1"/>
  <c r="C28" i="2" l="1"/>
  <c r="E29" i="2" s="1"/>
  <c r="D30" i="2"/>
  <c r="B30" i="2"/>
  <c r="A30" i="2"/>
  <c r="H12" i="1"/>
  <c r="I12" i="1" s="1"/>
  <c r="C13" i="1" s="1"/>
  <c r="C29" i="2" l="1"/>
  <c r="E30" i="2" s="1"/>
  <c r="B31" i="2"/>
  <c r="A31" i="2"/>
  <c r="D31" i="2"/>
  <c r="H13" i="1"/>
  <c r="I13" i="1" s="1"/>
  <c r="C14" i="1" s="1"/>
  <c r="C30" i="2" l="1"/>
  <c r="E31" i="2" s="1"/>
  <c r="D32" i="2"/>
  <c r="A32" i="2"/>
  <c r="B32" i="2"/>
  <c r="H14" i="1"/>
  <c r="I14" i="1" s="1"/>
  <c r="C15" i="1" s="1"/>
  <c r="C31" i="2" l="1"/>
  <c r="E32" i="2" s="1"/>
  <c r="D33" i="2"/>
  <c r="B33" i="2"/>
  <c r="A33" i="2"/>
  <c r="H15" i="1"/>
  <c r="I15" i="1" s="1"/>
  <c r="C16" i="1" s="1"/>
  <c r="C32" i="2" l="1"/>
  <c r="E33" i="2" s="1"/>
  <c r="B34" i="2"/>
  <c r="A34" i="2"/>
  <c r="C33" i="2"/>
  <c r="E34" i="2" s="1"/>
  <c r="D34" i="2"/>
  <c r="H16" i="1"/>
  <c r="I16" i="1" s="1"/>
  <c r="C17" i="1" s="1"/>
  <c r="C34" i="2" l="1"/>
  <c r="E35" i="2" s="1"/>
  <c r="B35" i="2"/>
  <c r="D35" i="2"/>
  <c r="A35" i="2"/>
  <c r="H17" i="1"/>
  <c r="I17" i="1" s="1"/>
  <c r="C18" i="1" s="1"/>
  <c r="A36" i="2" l="1"/>
  <c r="C35" i="2"/>
  <c r="E36" i="2" s="1"/>
  <c r="D36" i="2"/>
  <c r="B36" i="2"/>
  <c r="H18" i="1"/>
  <c r="I18" i="1" s="1"/>
  <c r="C19" i="1" s="1"/>
  <c r="D37" i="2" l="1"/>
  <c r="B37" i="2"/>
  <c r="A37" i="2"/>
  <c r="C36" i="2"/>
  <c r="E37" i="2" s="1"/>
  <c r="H19" i="1"/>
  <c r="I19" i="1" s="1"/>
  <c r="C20" i="1" s="1"/>
  <c r="C37" i="2" l="1"/>
  <c r="E38" i="2" s="1"/>
  <c r="D38" i="2"/>
  <c r="B38" i="2"/>
  <c r="A38" i="2"/>
  <c r="H20" i="1"/>
  <c r="I20" i="1" s="1"/>
  <c r="C21" i="1" s="1"/>
  <c r="B39" i="2" l="1"/>
  <c r="A39" i="2"/>
  <c r="C38" i="2"/>
  <c r="E39" i="2" s="1"/>
  <c r="D39" i="2"/>
  <c r="H21" i="1"/>
  <c r="I21" i="1" s="1"/>
  <c r="C22" i="1" s="1"/>
  <c r="A40" i="2" l="1"/>
  <c r="D40" i="2"/>
  <c r="B40" i="2"/>
  <c r="C39" i="2"/>
  <c r="E40" i="2" s="1"/>
  <c r="H22" i="1"/>
  <c r="I22" i="1" s="1"/>
  <c r="C23" i="1" s="1"/>
  <c r="D41" i="2" l="1"/>
  <c r="C40" i="2"/>
  <c r="E41" i="2"/>
  <c r="B41" i="2"/>
  <c r="A41" i="2"/>
  <c r="H23" i="1"/>
  <c r="I23" i="1" s="1"/>
  <c r="C24" i="1" s="1"/>
  <c r="B42" i="2" l="1"/>
  <c r="A42" i="2"/>
  <c r="C41" i="2"/>
  <c r="E42" i="2" s="1"/>
  <c r="D42" i="2"/>
  <c r="H24" i="1"/>
  <c r="I24" i="1" s="1"/>
  <c r="C25" i="1" s="1"/>
  <c r="C42" i="2" l="1"/>
  <c r="E43" i="2" s="1"/>
  <c r="D43" i="2"/>
  <c r="B43" i="2"/>
  <c r="A43" i="2"/>
  <c r="H25" i="1"/>
  <c r="I25" i="1" s="1"/>
  <c r="C26" i="1" s="1"/>
  <c r="A44" i="2" l="1"/>
  <c r="C43" i="2"/>
  <c r="E44" i="2" s="1"/>
  <c r="D44" i="2"/>
  <c r="B44" i="2"/>
  <c r="H26" i="1"/>
  <c r="I26" i="1" s="1"/>
  <c r="C27" i="1" s="1"/>
  <c r="D45" i="2" l="1"/>
  <c r="B45" i="2"/>
  <c r="A45" i="2"/>
  <c r="C44" i="2"/>
  <c r="E45" i="2" s="1"/>
  <c r="H27" i="1"/>
  <c r="I27" i="1" s="1"/>
  <c r="C28" i="1" s="1"/>
  <c r="C45" i="2" l="1"/>
  <c r="E46" i="2" s="1"/>
  <c r="D46" i="2"/>
  <c r="B46" i="2"/>
  <c r="A46" i="2"/>
  <c r="H28" i="1"/>
  <c r="I28" i="1" s="1"/>
  <c r="C29" i="1" s="1"/>
  <c r="B47" i="2" l="1"/>
  <c r="C46" i="2"/>
  <c r="A47" i="2"/>
  <c r="E47" i="2"/>
  <c r="D47" i="2"/>
  <c r="H29" i="1"/>
  <c r="I29" i="1" s="1"/>
  <c r="C30" i="1" s="1"/>
  <c r="D48" i="2" l="1"/>
  <c r="A48" i="2"/>
  <c r="B48" i="2"/>
  <c r="C47" i="2"/>
  <c r="E48" i="2" s="1"/>
  <c r="H30" i="1"/>
  <c r="I30" i="1" s="1"/>
  <c r="C31" i="1" s="1"/>
  <c r="C48" i="2" l="1"/>
  <c r="E49" i="2" s="1"/>
  <c r="D49" i="2"/>
  <c r="A49" i="2"/>
  <c r="B49" i="2"/>
  <c r="H31" i="1"/>
  <c r="I31" i="1" s="1"/>
  <c r="C32" i="1" s="1"/>
  <c r="B50" i="2" l="1"/>
  <c r="A50" i="2"/>
  <c r="C49" i="2"/>
  <c r="E50" i="2" s="1"/>
  <c r="D50" i="2"/>
  <c r="H32" i="1"/>
  <c r="I32" i="1" s="1"/>
  <c r="C33" i="1" s="1"/>
  <c r="C50" i="2" l="1"/>
  <c r="E51" i="2" s="1"/>
  <c r="B51" i="2"/>
  <c r="D51" i="2"/>
  <c r="A51" i="2"/>
  <c r="H33" i="1"/>
  <c r="I33" i="1" s="1"/>
  <c r="C34" i="1" s="1"/>
  <c r="A52" i="2" l="1"/>
  <c r="C51" i="2"/>
  <c r="E52" i="2" s="1"/>
  <c r="D52" i="2"/>
  <c r="B52" i="2"/>
  <c r="H34" i="1"/>
  <c r="I34" i="1" s="1"/>
  <c r="C35" i="1" s="1"/>
  <c r="D53" i="2" l="1"/>
  <c r="B53" i="2"/>
  <c r="A53" i="2"/>
  <c r="C52" i="2"/>
  <c r="E53" i="2"/>
  <c r="H35" i="1"/>
  <c r="I35" i="1" s="1"/>
  <c r="C36" i="1" s="1"/>
  <c r="C53" i="2" l="1"/>
  <c r="E54" i="2" s="1"/>
  <c r="D54" i="2"/>
  <c r="B54" i="2"/>
  <c r="A54" i="2"/>
  <c r="H36" i="1"/>
  <c r="I36" i="1" s="1"/>
  <c r="C37" i="1" s="1"/>
  <c r="B55" i="2" l="1"/>
  <c r="A55" i="2"/>
  <c r="C54" i="2"/>
  <c r="E55" i="2"/>
  <c r="D55" i="2"/>
  <c r="H37" i="1"/>
  <c r="I37" i="1" s="1"/>
  <c r="C38" i="1" s="1"/>
  <c r="D56" i="2" l="1"/>
  <c r="A56" i="2"/>
  <c r="B56" i="2"/>
  <c r="C55" i="2"/>
  <c r="E56" i="2" s="1"/>
  <c r="H38" i="1"/>
  <c r="I38" i="1" s="1"/>
  <c r="C39" i="1" s="1"/>
  <c r="C56" i="2" l="1"/>
  <c r="E57" i="2" s="1"/>
  <c r="D57" i="2"/>
  <c r="A57" i="2"/>
  <c r="B57" i="2"/>
  <c r="H39" i="1"/>
  <c r="I39" i="1" s="1"/>
  <c r="C40" i="1" s="1"/>
  <c r="B58" i="2" l="1"/>
  <c r="A58" i="2"/>
  <c r="C57" i="2"/>
  <c r="E58" i="2"/>
  <c r="D58" i="2"/>
  <c r="H40" i="1"/>
  <c r="I40" i="1" s="1"/>
  <c r="C41" i="1" s="1"/>
  <c r="C58" i="2" l="1"/>
  <c r="E59" i="2"/>
  <c r="B59" i="2"/>
  <c r="D59" i="2"/>
  <c r="A59" i="2"/>
  <c r="H41" i="1"/>
  <c r="I41" i="1" s="1"/>
  <c r="C42" i="1" s="1"/>
  <c r="A60" i="2" l="1"/>
  <c r="C59" i="2"/>
  <c r="E60" i="2" s="1"/>
  <c r="D60" i="2"/>
  <c r="B60" i="2"/>
  <c r="H42" i="1"/>
  <c r="I42" i="1" s="1"/>
  <c r="C43" i="1" s="1"/>
  <c r="D61" i="2" l="1"/>
  <c r="B61" i="2"/>
  <c r="A61" i="2"/>
  <c r="C60" i="2"/>
  <c r="E61" i="2" s="1"/>
  <c r="H43" i="1"/>
  <c r="I43" i="1" s="1"/>
  <c r="C44" i="1" s="1"/>
  <c r="C61" i="2" l="1"/>
  <c r="E62" i="2" s="1"/>
  <c r="D62" i="2"/>
  <c r="B62" i="2"/>
  <c r="A62" i="2"/>
  <c r="H44" i="1"/>
  <c r="I44" i="1" s="1"/>
  <c r="C45" i="1" s="1"/>
  <c r="B63" i="2" l="1"/>
  <c r="A63" i="2"/>
  <c r="C62" i="2"/>
  <c r="E63" i="2"/>
  <c r="D63" i="2"/>
  <c r="H45" i="1"/>
  <c r="I45" i="1" s="1"/>
  <c r="C46" i="1" s="1"/>
  <c r="D64" i="2" l="1"/>
  <c r="B64" i="2"/>
  <c r="A64" i="2"/>
  <c r="C63" i="2"/>
  <c r="E64" i="2" s="1"/>
  <c r="H46" i="1"/>
  <c r="I46" i="1" s="1"/>
  <c r="C47" i="1" s="1"/>
  <c r="C64" i="2" l="1"/>
  <c r="E65" i="2" s="1"/>
  <c r="D65" i="2"/>
  <c r="B65" i="2"/>
  <c r="A65" i="2"/>
  <c r="H47" i="1"/>
  <c r="I47" i="1" s="1"/>
  <c r="C48" i="1" s="1"/>
  <c r="B66" i="2" l="1"/>
  <c r="A66" i="2"/>
  <c r="C65" i="2"/>
  <c r="E66" i="2" s="1"/>
  <c r="D66" i="2"/>
  <c r="H48" i="1"/>
  <c r="I48" i="1" s="1"/>
  <c r="C49" i="1" s="1"/>
  <c r="C66" i="2" l="1"/>
  <c r="E67" i="2" s="1"/>
  <c r="B67" i="2"/>
  <c r="D67" i="2"/>
  <c r="A67" i="2"/>
  <c r="H49" i="1"/>
  <c r="I49" i="1" s="1"/>
  <c r="C50" i="1" s="1"/>
  <c r="A68" i="2" l="1"/>
  <c r="C67" i="2"/>
  <c r="E68" i="2" s="1"/>
  <c r="D68" i="2"/>
  <c r="B68" i="2"/>
  <c r="H50" i="1"/>
  <c r="I50" i="1" s="1"/>
  <c r="C51" i="1" s="1"/>
  <c r="D69" i="2" l="1"/>
  <c r="B69" i="2"/>
  <c r="A69" i="2"/>
  <c r="C68" i="2"/>
  <c r="E69" i="2" s="1"/>
  <c r="H51" i="1"/>
  <c r="I51" i="1" s="1"/>
  <c r="C52" i="1" s="1"/>
  <c r="C69" i="2" l="1"/>
  <c r="E70" i="2" s="1"/>
  <c r="D70" i="2"/>
  <c r="B70" i="2"/>
  <c r="A70" i="2"/>
  <c r="H52" i="1"/>
  <c r="I52" i="1" s="1"/>
  <c r="C53" i="1" s="1"/>
  <c r="B71" i="2" l="1"/>
  <c r="A71" i="2"/>
  <c r="C70" i="2"/>
  <c r="E71" i="2"/>
  <c r="D71" i="2"/>
  <c r="H53" i="1"/>
  <c r="I53" i="1" s="1"/>
  <c r="C54" i="1" s="1"/>
  <c r="D72" i="2" l="1"/>
  <c r="A72" i="2"/>
  <c r="B72" i="2"/>
  <c r="C71" i="2"/>
  <c r="E72" i="2" s="1"/>
  <c r="H54" i="1"/>
  <c r="I54" i="1" s="1"/>
  <c r="C55" i="1" s="1"/>
  <c r="C72" i="2" l="1"/>
  <c r="E73" i="2" s="1"/>
  <c r="D73" i="2"/>
  <c r="B73" i="2"/>
  <c r="A73" i="2"/>
  <c r="H55" i="1"/>
  <c r="I55" i="1" s="1"/>
  <c r="C56" i="1" s="1"/>
  <c r="B74" i="2" l="1"/>
  <c r="A74" i="2"/>
  <c r="C73" i="2"/>
  <c r="D74" i="2"/>
  <c r="E74" i="2"/>
  <c r="H56" i="1"/>
  <c r="I56" i="1" s="1"/>
  <c r="C57" i="1" s="1"/>
  <c r="C74" i="2" l="1"/>
  <c r="E75" i="2" s="1"/>
  <c r="D75" i="2"/>
  <c r="B75" i="2"/>
  <c r="A75" i="2"/>
  <c r="H57" i="1"/>
  <c r="I57" i="1" s="1"/>
  <c r="C58" i="1" s="1"/>
  <c r="A76" i="2" l="1"/>
  <c r="C75" i="2"/>
  <c r="E76" i="2" s="1"/>
  <c r="D76" i="2"/>
  <c r="B76" i="2"/>
  <c r="H58" i="1"/>
  <c r="I58" i="1" s="1"/>
  <c r="C59" i="1" s="1"/>
  <c r="D77" i="2" l="1"/>
  <c r="B77" i="2"/>
  <c r="A77" i="2"/>
  <c r="C76" i="2"/>
  <c r="E77" i="2" s="1"/>
  <c r="H59" i="1"/>
  <c r="I59" i="1" s="1"/>
  <c r="C60" i="1" s="1"/>
  <c r="C77" i="2" l="1"/>
  <c r="E78" i="2" s="1"/>
  <c r="D78" i="2"/>
  <c r="B78" i="2"/>
  <c r="A78" i="2"/>
  <c r="H60" i="1"/>
  <c r="I60" i="1" s="1"/>
  <c r="C61" i="1" s="1"/>
  <c r="B79" i="2" l="1"/>
  <c r="C78" i="2"/>
  <c r="E79" i="2" s="1"/>
  <c r="A79" i="2"/>
  <c r="D79" i="2"/>
  <c r="H61" i="1"/>
  <c r="I61" i="1" s="1"/>
  <c r="C62" i="1" s="1"/>
  <c r="D80" i="2" l="1"/>
  <c r="A80" i="2"/>
  <c r="B80" i="2"/>
  <c r="C79" i="2"/>
  <c r="E80" i="2" s="1"/>
  <c r="H62" i="1"/>
  <c r="I62" i="1" s="1"/>
  <c r="D81" i="2" l="1"/>
  <c r="C80" i="2"/>
  <c r="E81" i="2" s="1"/>
  <c r="B81" i="2"/>
  <c r="A81" i="2"/>
  <c r="B82" i="2" l="1"/>
  <c r="A82" i="2"/>
  <c r="C81" i="2"/>
  <c r="E82" i="2" s="1"/>
  <c r="D82" i="2"/>
  <c r="C82" i="2" l="1"/>
  <c r="E83" i="2"/>
  <c r="D83" i="2"/>
  <c r="B83" i="2"/>
  <c r="A83" i="2"/>
  <c r="A84" i="2" l="1"/>
  <c r="C83" i="2"/>
  <c r="E84" i="2" s="1"/>
  <c r="D84" i="2"/>
  <c r="B84" i="2"/>
  <c r="D85" i="2" l="1"/>
  <c r="B85" i="2"/>
  <c r="A85" i="2"/>
  <c r="C84" i="2"/>
  <c r="E85" i="2" s="1"/>
  <c r="C85" i="2" l="1"/>
  <c r="E86" i="2" s="1"/>
  <c r="D86" i="2"/>
  <c r="B86" i="2"/>
  <c r="A86" i="2"/>
  <c r="B87" i="2" l="1"/>
  <c r="A87" i="2"/>
  <c r="C86" i="2"/>
  <c r="E87" i="2"/>
  <c r="D87" i="2"/>
  <c r="D88" i="2" l="1"/>
  <c r="A88" i="2"/>
  <c r="B88" i="2"/>
  <c r="C87" i="2"/>
  <c r="E88" i="2" s="1"/>
  <c r="D89" i="2" l="1"/>
  <c r="C88" i="2"/>
  <c r="E89" i="2" s="1"/>
  <c r="A89" i="2"/>
  <c r="B89" i="2"/>
  <c r="B90" i="2" l="1"/>
  <c r="A90" i="2"/>
  <c r="C89" i="2"/>
  <c r="E90" i="2"/>
  <c r="D90" i="2"/>
  <c r="C90" i="2" l="1"/>
  <c r="E91" i="2"/>
  <c r="D91" i="2"/>
  <c r="B91" i="2"/>
  <c r="A91" i="2"/>
  <c r="A92" i="2" l="1"/>
  <c r="C91" i="2"/>
  <c r="E92" i="2" s="1"/>
  <c r="D92" i="2"/>
  <c r="B92" i="2"/>
  <c r="D93" i="2" l="1"/>
  <c r="B93" i="2"/>
  <c r="A93" i="2"/>
  <c r="C92" i="2"/>
  <c r="E93" i="2"/>
  <c r="C93" i="2" l="1"/>
  <c r="E94" i="2"/>
  <c r="D94" i="2"/>
  <c r="B94" i="2"/>
  <c r="A94" i="2"/>
  <c r="B95" i="2" l="1"/>
  <c r="A95" i="2"/>
  <c r="C94" i="2"/>
  <c r="E95" i="2"/>
  <c r="D95" i="2"/>
  <c r="D96" i="2" l="1"/>
  <c r="A96" i="2"/>
  <c r="B96" i="2"/>
  <c r="C95" i="2"/>
  <c r="E96" i="2" s="1"/>
  <c r="C96" i="2" l="1"/>
  <c r="E97" i="2" s="1"/>
  <c r="D97" i="2"/>
  <c r="A97" i="2"/>
  <c r="B97" i="2"/>
  <c r="B98" i="2" l="1"/>
  <c r="A98" i="2"/>
  <c r="C97" i="2"/>
  <c r="E98" i="2"/>
  <c r="D98" i="2"/>
  <c r="C98" i="2" l="1"/>
  <c r="E99" i="2" s="1"/>
  <c r="B99" i="2"/>
  <c r="D99" i="2"/>
  <c r="A99" i="2"/>
  <c r="A100" i="2" l="1"/>
  <c r="C99" i="2"/>
  <c r="E100" i="2" s="1"/>
  <c r="D100" i="2"/>
  <c r="B100" i="2"/>
  <c r="D101" i="2" l="1"/>
  <c r="B101" i="2"/>
  <c r="A101" i="2"/>
  <c r="C100" i="2"/>
  <c r="E101" i="2"/>
  <c r="C101" i="2" l="1"/>
  <c r="E102" i="2"/>
  <c r="D102" i="2"/>
  <c r="B102" i="2"/>
  <c r="A102" i="2"/>
  <c r="B103" i="2" l="1"/>
  <c r="A103" i="2"/>
  <c r="C102" i="2"/>
  <c r="E103" i="2"/>
  <c r="D103" i="2"/>
  <c r="E104" i="2" l="1"/>
  <c r="D104" i="2"/>
  <c r="B104" i="2"/>
  <c r="A104" i="2"/>
  <c r="C104" i="2" s="1"/>
  <c r="C10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LY TRAN THAI HOC</author>
  </authors>
  <commentList>
    <comment ref="G1" authorId="0" shapeId="0" xr:uid="{D576322C-6016-4F47-A5D2-708EF8462F59}">
      <text>
        <r>
          <rPr>
            <b/>
            <sz val="9"/>
            <color indexed="81"/>
            <rFont val="Tahoma"/>
            <family val="2"/>
          </rPr>
          <t>LY TRAN THAI HOC:</t>
        </r>
        <r>
          <rPr>
            <sz val="9"/>
            <color indexed="81"/>
            <rFont val="Tahoma"/>
            <family val="2"/>
          </rPr>
          <t xml:space="preserve">
Vietcombank</t>
        </r>
      </text>
    </comment>
  </commentList>
</comments>
</file>

<file path=xl/sharedStrings.xml><?xml version="1.0" encoding="utf-8"?>
<sst xmlns="http://schemas.openxmlformats.org/spreadsheetml/2006/main" count="256" uniqueCount="190">
  <si>
    <t>Period</t>
  </si>
  <si>
    <t>Date</t>
  </si>
  <si>
    <t>Deposit</t>
  </si>
  <si>
    <t>Change</t>
  </si>
  <si>
    <t>Money</t>
  </si>
  <si>
    <t>Description</t>
  </si>
  <si>
    <t>Rates</t>
  </si>
  <si>
    <t>Interest</t>
  </si>
  <si>
    <t>Accrued Interest</t>
  </si>
  <si>
    <t>Months</t>
  </si>
  <si>
    <t>Vehicle Registration Fee</t>
  </si>
  <si>
    <t>Percent</t>
  </si>
  <si>
    <t>Tax</t>
  </si>
  <si>
    <t>License plate</t>
  </si>
  <si>
    <t>Paid time</t>
  </si>
  <si>
    <t>Loan date</t>
  </si>
  <si>
    <t>Accreditation</t>
  </si>
  <si>
    <t>Interest rate</t>
  </si>
  <si>
    <t>Road</t>
  </si>
  <si>
    <t>Annual</t>
  </si>
  <si>
    <t>Insurance (Required)</t>
  </si>
  <si>
    <t>Insurance (2-way)</t>
  </si>
  <si>
    <t xml:space="preserve">Cash </t>
  </si>
  <si>
    <t>Rolling</t>
  </si>
  <si>
    <t>Service</t>
  </si>
  <si>
    <t>Installment</t>
  </si>
  <si>
    <t>Total Fee</t>
  </si>
  <si>
    <t>Balance</t>
  </si>
  <si>
    <t>Debt</t>
  </si>
  <si>
    <t>Payable</t>
  </si>
  <si>
    <t>Average over 1,000,000:</t>
  </si>
  <si>
    <t>Address</t>
  </si>
  <si>
    <t>Birthdate</t>
  </si>
  <si>
    <t>United States</t>
  </si>
  <si>
    <t>Canada</t>
  </si>
  <si>
    <t>Customer ID</t>
  </si>
  <si>
    <t>Last Name</t>
  </si>
  <si>
    <t>First Name</t>
  </si>
  <si>
    <t>Sex</t>
  </si>
  <si>
    <t>M</t>
  </si>
  <si>
    <t>F</t>
  </si>
  <si>
    <t>Dulce</t>
  </si>
  <si>
    <t>Dante</t>
  </si>
  <si>
    <t>Lilith</t>
  </si>
  <si>
    <t>Leighton</t>
  </si>
  <si>
    <t>Estella</t>
  </si>
  <si>
    <t>Kylan</t>
  </si>
  <si>
    <t>Layla</t>
  </si>
  <si>
    <t>Leroy</t>
  </si>
  <si>
    <t>Kataleya</t>
  </si>
  <si>
    <t>Gunnar</t>
  </si>
  <si>
    <t>Cataleya</t>
  </si>
  <si>
    <t>Ronald</t>
  </si>
  <si>
    <t>Shelby</t>
  </si>
  <si>
    <t>Justice</t>
  </si>
  <si>
    <t>Theodora</t>
  </si>
  <si>
    <t>Noe</t>
  </si>
  <si>
    <t>Anastasia</t>
  </si>
  <si>
    <t>Pedro</t>
  </si>
  <si>
    <t>Elora</t>
  </si>
  <si>
    <t>Cesar</t>
  </si>
  <si>
    <t>Sawyer</t>
  </si>
  <si>
    <t>Tripp</t>
  </si>
  <si>
    <t>Thalia</t>
  </si>
  <si>
    <t>Marcus</t>
  </si>
  <si>
    <t>Angie</t>
  </si>
  <si>
    <t>Brett</t>
  </si>
  <si>
    <t>Ailani</t>
  </si>
  <si>
    <t>Davidson</t>
  </si>
  <si>
    <t>Figueroa</t>
  </si>
  <si>
    <t>Eaton</t>
  </si>
  <si>
    <t>McClure</t>
  </si>
  <si>
    <t>Kramer</t>
  </si>
  <si>
    <t>White</t>
  </si>
  <si>
    <t>Hayden</t>
  </si>
  <si>
    <t>Winters</t>
  </si>
  <si>
    <t>Pope</t>
  </si>
  <si>
    <t>Page</t>
  </si>
  <si>
    <t>Shepherd</t>
  </si>
  <si>
    <t>Osborne</t>
  </si>
  <si>
    <t>Benitez</t>
  </si>
  <si>
    <t>Buckley</t>
  </si>
  <si>
    <t>Garrison</t>
  </si>
  <si>
    <t>Simpson</t>
  </si>
  <si>
    <t>Liu</t>
  </si>
  <si>
    <t>Bridges</t>
  </si>
  <si>
    <t>Graves</t>
  </si>
  <si>
    <t>Estrada</t>
  </si>
  <si>
    <t>Ingram</t>
  </si>
  <si>
    <t>Calhoun</t>
  </si>
  <si>
    <t>Pena</t>
  </si>
  <si>
    <t>Chase</t>
  </si>
  <si>
    <t>Dougherty</t>
  </si>
  <si>
    <t>Pratt</t>
  </si>
  <si>
    <t>Harris</t>
  </si>
  <si>
    <t>Samuel</t>
  </si>
  <si>
    <t>Coleman</t>
  </si>
  <si>
    <t>Julia</t>
  </si>
  <si>
    <t>Ruiz</t>
  </si>
  <si>
    <t>Austin</t>
  </si>
  <si>
    <t>Valencia</t>
  </si>
  <si>
    <t>Maddison</t>
  </si>
  <si>
    <t>Spence</t>
  </si>
  <si>
    <t>Cillian</t>
  </si>
  <si>
    <t>French</t>
  </si>
  <si>
    <t>Lorelai</t>
  </si>
  <si>
    <t>Cortez</t>
  </si>
  <si>
    <t>Zayn</t>
  </si>
  <si>
    <t>Cain</t>
  </si>
  <si>
    <t>Kendra</t>
  </si>
  <si>
    <t>Chavez</t>
  </si>
  <si>
    <t>Ian</t>
  </si>
  <si>
    <t>Garcia</t>
  </si>
  <si>
    <t>Amelia</t>
  </si>
  <si>
    <t>Bowman</t>
  </si>
  <si>
    <t>Francisco</t>
  </si>
  <si>
    <t>Leach</t>
  </si>
  <si>
    <t>Martha</t>
  </si>
  <si>
    <t>Zamora</t>
  </si>
  <si>
    <t>Quentin</t>
  </si>
  <si>
    <t>Bernal</t>
  </si>
  <si>
    <t>Emmeline</t>
  </si>
  <si>
    <t>Sheppard</t>
  </si>
  <si>
    <t>Trent</t>
  </si>
  <si>
    <t>Christensen</t>
  </si>
  <si>
    <t>Carmen</t>
  </si>
  <si>
    <t>Montgomery</t>
  </si>
  <si>
    <t>Maximiliano</t>
  </si>
  <si>
    <t>Bishop</t>
  </si>
  <si>
    <t>Brooklynn</t>
  </si>
  <si>
    <t>Soto</t>
  </si>
  <si>
    <t>Barrett</t>
  </si>
  <si>
    <t>Hahn</t>
  </si>
  <si>
    <t>Fallon</t>
  </si>
  <si>
    <t>Callahan</t>
  </si>
  <si>
    <t>Quinton</t>
  </si>
  <si>
    <t>Taylor</t>
  </si>
  <si>
    <t>Sofia</t>
  </si>
  <si>
    <t>Duran</t>
  </si>
  <si>
    <t>Ismael</t>
  </si>
  <si>
    <t>Harding</t>
  </si>
  <si>
    <t>Brazil</t>
  </si>
  <si>
    <t>Japan</t>
  </si>
  <si>
    <t>Vietnam</t>
  </si>
  <si>
    <t>Germany</t>
  </si>
  <si>
    <t>Australia</t>
  </si>
  <si>
    <t>Italy</t>
  </si>
  <si>
    <t>India</t>
  </si>
  <si>
    <t>Mexico</t>
  </si>
  <si>
    <t>Thailand</t>
  </si>
  <si>
    <t>Russia</t>
  </si>
  <si>
    <t>South Korea</t>
  </si>
  <si>
    <t>Egypt</t>
  </si>
  <si>
    <t>Spain</t>
  </si>
  <si>
    <t>France</t>
  </si>
  <si>
    <t>Norway</t>
  </si>
  <si>
    <t>Indonesia</t>
  </si>
  <si>
    <t>Argentina</t>
  </si>
  <si>
    <t>Philippines</t>
  </si>
  <si>
    <t>Sweden</t>
  </si>
  <si>
    <t>United Kingdom</t>
  </si>
  <si>
    <t>Saudi Arabia</t>
  </si>
  <si>
    <t>New Zealand</t>
  </si>
  <si>
    <t>Turkey</t>
  </si>
  <si>
    <t>Nigeria</t>
  </si>
  <si>
    <t>Denmark</t>
  </si>
  <si>
    <t>Singapore</t>
  </si>
  <si>
    <t>Myanmar</t>
  </si>
  <si>
    <t>Peru</t>
  </si>
  <si>
    <t>South Africa</t>
  </si>
  <si>
    <t>Colombia</t>
  </si>
  <si>
    <t>Malaysia</t>
  </si>
  <si>
    <t>Pakistan</t>
  </si>
  <si>
    <t>Finland</t>
  </si>
  <si>
    <t>Israel</t>
  </si>
  <si>
    <t>Portugal</t>
  </si>
  <si>
    <t>Greece</t>
  </si>
  <si>
    <t>Flag</t>
  </si>
  <si>
    <t>Postal Code</t>
  </si>
  <si>
    <t>Country Or Region</t>
  </si>
  <si>
    <t>Current Age</t>
  </si>
  <si>
    <t>Quantity</t>
  </si>
  <si>
    <t>Famale</t>
  </si>
  <si>
    <t>Male</t>
  </si>
  <si>
    <t>Age</t>
  </si>
  <si>
    <t>WealPro Bank</t>
  </si>
  <si>
    <t>Email Address</t>
  </si>
  <si>
    <t>Display Name</t>
  </si>
  <si>
    <t>Version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</si>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</sst>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mmmm\ d\,\ yyyy;@"/>
    <numFmt numFmtId="165" formatCode="dd/mm/yyyy"/>
    <numFmt numFmtId="166" formatCode="0.000"/>
    <numFmt numFmtId="169" formatCode="&quot;$&quot;#,##0.00"/>
  </numFmts>
  <fonts count="16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rgb="FF00B050"/>
      <name val="Century Gothic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entury Gothic"/>
      <family val="2"/>
      <scheme val="minor"/>
    </font>
    <font>
      <b/>
      <i/>
      <sz val="11"/>
      <color theme="9"/>
      <name val="Century Gothic"/>
      <family val="2"/>
      <scheme val="minor"/>
    </font>
    <font>
      <b/>
      <sz val="11"/>
      <color rgb="FF002060"/>
      <name val="Century Gothic"/>
      <family val="2"/>
      <scheme val="minor"/>
    </font>
    <font>
      <b/>
      <sz val="11"/>
      <color rgb="FF9C5700"/>
      <name val="Century Gothic"/>
      <family val="2"/>
      <scheme val="minor"/>
    </font>
    <font>
      <sz val="10"/>
      <color theme="1"/>
      <name val="Century Gothic"/>
      <family val="2"/>
      <scheme val="minor"/>
    </font>
    <font>
      <b/>
      <sz val="10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6" fillId="0" borderId="3" applyNumberFormat="0" applyFill="0" applyAlignment="0" applyProtection="0"/>
  </cellStyleXfs>
  <cellXfs count="52">
    <xf numFmtId="0" fontId="0" fillId="0" borderId="0" xfId="0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0" fillId="0" borderId="7" xfId="0" applyBorder="1"/>
    <xf numFmtId="164" fontId="0" fillId="0" borderId="8" xfId="0" applyNumberFormat="1" applyBorder="1"/>
    <xf numFmtId="3" fontId="0" fillId="0" borderId="8" xfId="0" applyNumberFormat="1" applyBorder="1"/>
    <xf numFmtId="3" fontId="7" fillId="0" borderId="8" xfId="0" applyNumberFormat="1" applyFont="1" applyBorder="1"/>
    <xf numFmtId="0" fontId="5" fillId="0" borderId="8" xfId="0" applyFont="1" applyBorder="1"/>
    <xf numFmtId="0" fontId="0" fillId="0" borderId="8" xfId="0" applyBorder="1"/>
    <xf numFmtId="10" fontId="0" fillId="0" borderId="8" xfId="0" applyNumberFormat="1" applyBorder="1"/>
    <xf numFmtId="3" fontId="0" fillId="0" borderId="9" xfId="0" applyNumberFormat="1" applyBorder="1"/>
    <xf numFmtId="10" fontId="0" fillId="0" borderId="0" xfId="0" applyNumberFormat="1"/>
    <xf numFmtId="3" fontId="5" fillId="0" borderId="8" xfId="0" applyNumberFormat="1" applyFont="1" applyBorder="1"/>
    <xf numFmtId="14" fontId="0" fillId="0" borderId="8" xfId="0" applyNumberFormat="1" applyBorder="1"/>
    <xf numFmtId="0" fontId="0" fillId="0" borderId="10" xfId="0" applyBorder="1"/>
    <xf numFmtId="3" fontId="0" fillId="0" borderId="11" xfId="0" applyNumberFormat="1" applyBorder="1"/>
    <xf numFmtId="3" fontId="7" fillId="0" borderId="11" xfId="0" applyNumberFormat="1" applyFont="1" applyBorder="1"/>
    <xf numFmtId="0" fontId="5" fillId="0" borderId="11" xfId="0" applyFont="1" applyBorder="1"/>
    <xf numFmtId="0" fontId="0" fillId="0" borderId="11" xfId="0" applyBorder="1"/>
    <xf numFmtId="10" fontId="0" fillId="0" borderId="11" xfId="0" applyNumberFormat="1" applyBorder="1"/>
    <xf numFmtId="0" fontId="3" fillId="3" borderId="1" xfId="4"/>
    <xf numFmtId="0" fontId="6" fillId="0" borderId="8" xfId="0" applyFont="1" applyBorder="1"/>
    <xf numFmtId="3" fontId="6" fillId="0" borderId="8" xfId="1" applyNumberFormat="1" applyFont="1" applyBorder="1"/>
    <xf numFmtId="9" fontId="6" fillId="0" borderId="8" xfId="0" applyNumberFormat="1" applyFont="1" applyBorder="1"/>
    <xf numFmtId="3" fontId="10" fillId="0" borderId="8" xfId="1" applyNumberFormat="1" applyFont="1" applyBorder="1"/>
    <xf numFmtId="3" fontId="0" fillId="0" borderId="8" xfId="1" applyNumberFormat="1" applyFont="1" applyBorder="1"/>
    <xf numFmtId="3" fontId="11" fillId="0" borderId="0" xfId="0" applyNumberFormat="1" applyFont="1"/>
    <xf numFmtId="165" fontId="6" fillId="0" borderId="8" xfId="0" applyNumberFormat="1" applyFont="1" applyBorder="1"/>
    <xf numFmtId="10" fontId="6" fillId="0" borderId="8" xfId="0" applyNumberFormat="1" applyFont="1" applyBorder="1"/>
    <xf numFmtId="0" fontId="4" fillId="4" borderId="2" xfId="5"/>
    <xf numFmtId="3" fontId="10" fillId="0" borderId="8" xfId="0" applyNumberFormat="1" applyFont="1" applyBorder="1"/>
    <xf numFmtId="0" fontId="4" fillId="4" borderId="8" xfId="5" applyBorder="1" applyAlignment="1">
      <alignment horizontal="center"/>
    </xf>
    <xf numFmtId="3" fontId="12" fillId="0" borderId="8" xfId="0" applyNumberFormat="1" applyFont="1" applyBorder="1"/>
    <xf numFmtId="0" fontId="6" fillId="0" borderId="3" xfId="6"/>
    <xf numFmtId="3" fontId="10" fillId="0" borderId="3" xfId="6" applyNumberFormat="1" applyFont="1"/>
    <xf numFmtId="0" fontId="13" fillId="2" borderId="8" xfId="3" applyFont="1" applyBorder="1"/>
    <xf numFmtId="10" fontId="13" fillId="2" borderId="8" xfId="3" applyNumberFormat="1" applyFont="1" applyBorder="1"/>
    <xf numFmtId="165" fontId="0" fillId="0" borderId="0" xfId="0" applyNumberFormat="1"/>
    <xf numFmtId="3" fontId="0" fillId="0" borderId="0" xfId="1" applyNumberFormat="1" applyFont="1" applyBorder="1"/>
    <xf numFmtId="0" fontId="14" fillId="0" borderId="0" xfId="0" applyFont="1"/>
    <xf numFmtId="0" fontId="15" fillId="0" borderId="0" xfId="0" applyFont="1" applyAlignment="1">
      <alignment horizontal="center"/>
    </xf>
    <xf numFmtId="166" fontId="14" fillId="0" borderId="0" xfId="0" applyNumberFormat="1" applyFont="1"/>
    <xf numFmtId="164" fontId="14" fillId="0" borderId="0" xfId="0" applyNumberFormat="1" applyFont="1"/>
    <xf numFmtId="0" fontId="3" fillId="3" borderId="13" xfId="4" applyBorder="1"/>
    <xf numFmtId="9" fontId="0" fillId="0" borderId="0" xfId="2" applyFont="1"/>
    <xf numFmtId="0" fontId="3" fillId="3" borderId="1" xfId="4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169" fontId="0" fillId="0" borderId="0" xfId="1" applyNumberFormat="1" applyFont="1" applyBorder="1"/>
  </cellXfs>
  <cellStyles count="7">
    <cellStyle name="Comma" xfId="1" builtinId="3"/>
    <cellStyle name="Input" xfId="4" builtinId="20"/>
    <cellStyle name="Neutral" xfId="3" builtinId="28"/>
    <cellStyle name="Normal" xfId="0" builtinId="0"/>
    <cellStyle name="Output" xfId="5" builtinId="21"/>
    <cellStyle name="Percent" xfId="2" builtinId="5"/>
    <cellStyle name="Total" xfId="6" builtinId="25"/>
  </cellStyles>
  <dxfs count="30">
    <dxf>
      <font>
        <b/>
        <i val="0"/>
      </font>
      <fill>
        <patternFill patternType="solid">
          <bgColor rgb="FFFFC000"/>
        </patternFill>
      </fill>
      <border>
        <left/>
        <right/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numFmt numFmtId="164" formatCode="[$-409]mmmm\ d\,\ 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minor"/>
      </font>
      <numFmt numFmtId="164" formatCode="[$-409]mmmm\ d\,\ 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minor"/>
      </font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entury Gothic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entury Gothic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mmmm\ d\,\ 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Customers!$O$6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Customers!$N$7:$N$11</c:f>
              <c:numCache>
                <c:formatCode>General</c:formatCode>
                <c:ptCount val="5"/>
                <c:pt idx="0">
                  <c:v>21</c:v>
                </c:pt>
                <c:pt idx="1">
                  <c:v>22</c:v>
                </c:pt>
                <c:pt idx="2">
                  <c:v>23</c:v>
                </c:pt>
                <c:pt idx="3">
                  <c:v>24</c:v>
                </c:pt>
                <c:pt idx="4">
                  <c:v>25</c:v>
                </c:pt>
              </c:numCache>
            </c:numRef>
          </c:cat>
          <c:val>
            <c:numRef>
              <c:f>Customers!$O$7:$O$11</c:f>
              <c:numCache>
                <c:formatCode>General</c:formatCode>
                <c:ptCount val="5"/>
                <c:pt idx="0">
                  <c:v>8</c:v>
                </c:pt>
                <c:pt idx="1">
                  <c:v>23</c:v>
                </c:pt>
                <c:pt idx="2">
                  <c:v>13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5B-419E-9795-269BF4F49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8298896"/>
        <c:axId val="48301296"/>
      </c:barChart>
      <c:catAx>
        <c:axId val="4829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01296"/>
        <c:crosses val="autoZero"/>
        <c:auto val="1"/>
        <c:lblAlgn val="ctr"/>
        <c:lblOffset val="100"/>
        <c:noMultiLvlLbl val="0"/>
      </c:catAx>
      <c:valAx>
        <c:axId val="483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Customers!$O$1</c:f>
              <c:strCache>
                <c:ptCount val="1"/>
                <c:pt idx="0">
                  <c:v>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B5-4605-868C-C4E10CBF43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B5-4605-868C-C4E10CBF43A5}"/>
              </c:ext>
            </c:extLst>
          </c:dPt>
          <c:cat>
            <c:strRef>
              <c:f>Customers!$N$2:$N$3</c:f>
              <c:strCache>
                <c:ptCount val="2"/>
                <c:pt idx="0">
                  <c:v>Famale</c:v>
                </c:pt>
                <c:pt idx="1">
                  <c:v>Male</c:v>
                </c:pt>
              </c:strCache>
            </c:strRef>
          </c:cat>
          <c:val>
            <c:numRef>
              <c:f>Customers!$O$2:$O$3</c:f>
              <c:numCache>
                <c:formatCode>General</c:formatCode>
                <c:ptCount val="2"/>
                <c:pt idx="0">
                  <c:v>32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B5-4605-868C-C4E10CBF4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BCAA16-1840-4BC5-8584-ED57F0330653}">
  <sheetPr/>
  <sheetViews>
    <sheetView zoomScale="85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0</xdr:row>
      <xdr:rowOff>15241</xdr:rowOff>
    </xdr:from>
    <xdr:ext cx="7871459" cy="101345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454867-B2CF-432D-B255-97EE13A02D98}"/>
            </a:ext>
          </a:extLst>
        </xdr:cNvPr>
        <xdr:cNvSpPr/>
      </xdr:nvSpPr>
      <xdr:spPr>
        <a:xfrm>
          <a:off x="22860" y="15241"/>
          <a:ext cx="7871459" cy="1013459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66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HOCICT Horizon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22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9932AF-75B7-45E4-8DD1-FA9C768EA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9906" cy="628425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954F8D-08C5-87CC-1CF8-293183F142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D3002-F2B0-4DB7-B164-852F253E1D37}" name="Rates" displayName="Rates" ref="L1:M11" totalsRowShown="0">
  <autoFilter ref="L1:M11" xr:uid="{F6E3480A-61BE-4103-9FD8-D67085B215F9}"/>
  <tableColumns count="2">
    <tableColumn id="1" xr3:uid="{447091E6-3B18-4142-BA07-446D0FFF974B}" name="Months"/>
    <tableColumn id="2" xr3:uid="{8F6F8641-342C-490D-8ADC-E5EEBC5403B2}" name="Rates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D7042B-214A-43F8-A6C6-AB5FC477AC84}" name="Deposit" displayName="Deposit" ref="A1:I62" totalsRowShown="0" headerRowDxfId="28" headerRowBorderDxfId="27" tableBorderDxfId="26" totalsRowBorderDxfId="25">
  <autoFilter ref="A1:I62" xr:uid="{C1476A6F-7027-41B1-9EEB-B4578B9EAE61}"/>
  <tableColumns count="9">
    <tableColumn id="1" xr3:uid="{91D3865A-A130-42BA-B90E-1FBE18C08A4C}" name="Period" dataDxfId="24"/>
    <tableColumn id="2" xr3:uid="{53FB934D-E71E-482D-8E62-92F865C90A27}" name="Date" dataDxfId="23"/>
    <tableColumn id="3" xr3:uid="{3F6E9435-7D03-47DA-A8B4-9781A0244E4E}" name="Deposit" dataDxfId="22">
      <calculatedColumnFormula>I1</calculatedColumnFormula>
    </tableColumn>
    <tableColumn id="4" xr3:uid="{758EB7C8-A54C-44DE-819E-1B4891532571}" name="Change" dataDxfId="21"/>
    <tableColumn id="5" xr3:uid="{FE626457-FE98-4F85-886E-5AD1355EFB61}" name="Money" dataDxfId="20"/>
    <tableColumn id="6" xr3:uid="{1223BBC1-3EEB-48A4-B6D3-4DDAD47C712C}" name="Description" dataDxfId="19"/>
    <tableColumn id="7" xr3:uid="{C86C7A01-6A30-4C61-9826-63203074CB27}" name="Rates" dataDxfId="18">
      <calculatedColumnFormula>IF((B2-$B$2)*12/365=0,0,VLOOKUP((B2-$B$2)*12/365,Rates[],2,TRUE)/12)</calculatedColumnFormula>
    </tableColumn>
    <tableColumn id="8" xr3:uid="{620DEBD7-FDF4-49A0-B159-9385478A20F0}" name="Interest" dataDxfId="17">
      <calculatedColumnFormula>IF(D2="-",(C2-E2)*G2,IF(D2="+",C2*G2,C2*G2))</calculatedColumnFormula>
    </tableColumn>
    <tableColumn id="9" xr3:uid="{1C70817A-E736-421D-A0BE-1EB0244CE7E3}" name="Accrued Interest" dataDxfId="16">
      <calculatedColumnFormula>IF(D2="-",C2+H2-E2,IF(D2="+",C2+H2+E2,C2+H2))</calculatedColumnFormula>
    </tableColumn>
  </tableColumns>
  <tableStyleInfo name="TableStyleMedium1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BAA7DB-0C5B-4495-86CA-AB749D72EA36}" name="Table3" displayName="Table3" ref="A1:L51" totalsRowShown="0" headerRowDxfId="15" dataDxfId="14">
  <autoFilter ref="A1:L51" xr:uid="{3DBAA7DB-0C5B-4495-86CA-AB749D72EA36}"/>
  <tableColumns count="12">
    <tableColumn id="2" xr3:uid="{42C3293E-BF7F-4F00-A054-5D49B429A8A5}" name="Customer ID" dataDxfId="13">
      <calculatedColumnFormula>_xlfn.CONCAT("cid",678000+ROW()-1)</calculatedColumnFormula>
    </tableColumn>
    <tableColumn id="3" xr3:uid="{0E2753B5-0770-4EBD-BAAB-8F65242B6115}" name="Last Name" dataDxfId="12"/>
    <tableColumn id="4" xr3:uid="{57DB07CE-DA7C-4730-AF50-647F2EFF49B3}" name="First Name" dataDxfId="11"/>
    <tableColumn id="5" xr3:uid="{E47C69A9-4428-4F2A-BEF1-0CB2189FAA85}" name="Display Name" dataDxfId="10"/>
    <tableColumn id="12" xr3:uid="{C51EF122-57FA-4CD0-AEB2-93E044337D24}" name="Birthdate" dataDxfId="9"/>
    <tableColumn id="14" xr3:uid="{FEA4D714-9ACC-4EE2-A8D2-9CB463C749F6}" name="Sex" dataDxfId="8"/>
    <tableColumn id="6" xr3:uid="{BDDDCC9B-62D4-4935-8BFB-F360B94EAA06}" name="Email Address" dataDxfId="7"/>
    <tableColumn id="8" xr3:uid="{605E411F-BF12-4B24-8292-2053DE507EBB}" name="Address" dataDxfId="6"/>
    <tableColumn id="9" xr3:uid="{225CBF6B-8EB1-404F-9941-10DB6AC95C2F}" name="Postal Code" dataDxfId="5"/>
    <tableColumn id="10" xr3:uid="{CF74A821-7F7F-4875-AE05-827D5FF4537A}" name="Country Or Region" dataDxfId="4"/>
    <tableColumn id="16" xr3:uid="{DF1549A1-B9C0-4F89-BCB1-20DC0F417B5A}" name="Flag" dataDxfId="3"/>
    <tableColumn id="1" xr3:uid="{B42D6710-B116-4B27-B870-6C37DE0CC7EC}" name="Current Age" dataDxfId="2">
      <calculatedColumnFormula>INT((TODAY()-Table3[[#This Row],[Birthdate]])/365)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Vapor Trail">
  <a:themeElements>
    <a:clrScheme name="Vapor Trail">
      <a:dk1>
        <a:sysClr val="windowText" lastClr="000000"/>
      </a:dk1>
      <a:lt1>
        <a:sysClr val="window" lastClr="FFFFFF"/>
      </a:lt1>
      <a:dk2>
        <a:srgbClr val="454545"/>
      </a:dk2>
      <a:lt2>
        <a:srgbClr val="DADADA"/>
      </a:lt2>
      <a:accent1>
        <a:srgbClr val="DF2E28"/>
      </a:accent1>
      <a:accent2>
        <a:srgbClr val="FE801A"/>
      </a:accent2>
      <a:accent3>
        <a:srgbClr val="E9BF35"/>
      </a:accent3>
      <a:accent4>
        <a:srgbClr val="81BB42"/>
      </a:accent4>
      <a:accent5>
        <a:srgbClr val="32C7A9"/>
      </a:accent5>
      <a:accent6>
        <a:srgbClr val="4A9BDC"/>
      </a:accent6>
      <a:hlink>
        <a:srgbClr val="F0532B"/>
      </a:hlink>
      <a:folHlink>
        <a:srgbClr val="F38B53"/>
      </a:folHlink>
    </a:clrScheme>
    <a:fontScheme name="Vapor Trail">
      <a:maj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apor Trail">
      <a:fillStyleLst>
        <a:solidFill>
          <a:schemeClr val="phClr"/>
        </a:solidFill>
        <a:gradFill rotWithShape="1">
          <a:gsLst>
            <a:gs pos="0">
              <a:schemeClr val="phClr">
                <a:tint val="69000"/>
                <a:alpha val="100000"/>
                <a:satMod val="109000"/>
                <a:lumMod val="110000"/>
              </a:schemeClr>
            </a:gs>
            <a:gs pos="52000">
              <a:schemeClr val="phClr">
                <a:tint val="74000"/>
                <a:satMod val="100000"/>
                <a:lumMod val="104000"/>
              </a:schemeClr>
            </a:gs>
            <a:gs pos="100000">
              <a:schemeClr val="phClr">
                <a:tint val="78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satMod val="100000"/>
                <a:lumMod val="104000"/>
              </a:schemeClr>
            </a:gs>
            <a:gs pos="78000">
              <a:schemeClr val="phClr">
                <a:shade val="100000"/>
                <a:satMod val="11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  <a:scene3d>
            <a:camera prst="orthographicFront">
              <a:rot lat="0" lon="0" rev="0"/>
            </a:camera>
            <a:lightRig rig="threePt" dir="t"/>
          </a:scene3d>
          <a:sp3d>
            <a:bevelT w="25400" h="12700"/>
          </a:sp3d>
        </a:effectStyle>
        <a:effectStyle>
          <a:effectLst>
            <a:outerShdw blurRad="57150" dist="19050" dir="5400000" algn="ctr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>
            <a:bevelT w="508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apor Trail" id="{4FDF2955-7D9C-493C-B9F9-C205151B46CD}" vid="{8F31A783-2159-4870-BC29-2BA7D038EA4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DF52B-35E2-4AFE-9BD8-8B8378E6BEB4}">
  <dimension ref="A1:M62"/>
  <sheetViews>
    <sheetView zoomScaleNormal="100" workbookViewId="0">
      <selection activeCell="C29" sqref="C29"/>
    </sheetView>
  </sheetViews>
  <sheetFormatPr defaultRowHeight="13.8" x14ac:dyDescent="0.25"/>
  <cols>
    <col min="1" max="1" width="8.296875" customWidth="1"/>
    <col min="2" max="2" width="18.3984375" bestFit="1" customWidth="1"/>
    <col min="3" max="3" width="11.5" customWidth="1"/>
    <col min="4" max="4" width="10.09765625" bestFit="1" customWidth="1"/>
    <col min="5" max="5" width="9" bestFit="1" customWidth="1"/>
    <col min="6" max="6" width="12.796875" bestFit="1" customWidth="1"/>
    <col min="7" max="7" width="7.69921875" customWidth="1"/>
    <col min="8" max="8" width="10.59765625" customWidth="1"/>
    <col min="9" max="9" width="17.69921875" bestFit="1" customWidth="1"/>
    <col min="12" max="12" width="9.69921875" customWidth="1"/>
    <col min="13" max="13" width="12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L1" t="s">
        <v>9</v>
      </c>
      <c r="M1" t="s">
        <v>6</v>
      </c>
    </row>
    <row r="2" spans="1:13" x14ac:dyDescent="0.25">
      <c r="A2" s="4">
        <v>0</v>
      </c>
      <c r="B2" s="5">
        <v>45889</v>
      </c>
      <c r="C2" s="6">
        <v>454300000</v>
      </c>
      <c r="D2" s="7"/>
      <c r="E2" s="8"/>
      <c r="F2" s="9"/>
      <c r="G2" s="10">
        <f>IF((B2-$B$2)*12/365=0,0,VLOOKUP((B2-$B$2)*12/365,Rates[],2,TRUE)/12)</f>
        <v>0</v>
      </c>
      <c r="H2" s="6">
        <f>IF(D2="-",(C2-E2)*G2,IF(D2="+",C2*G2,C2*G2))</f>
        <v>0</v>
      </c>
      <c r="I2" s="11">
        <f>IF(D2="-",C2+H2-E2,IF(D2="+",C2+H2+E2,C2+H2))</f>
        <v>454300000</v>
      </c>
      <c r="L2">
        <v>1</v>
      </c>
      <c r="M2" s="12">
        <v>4.2999999999999997E-2</v>
      </c>
    </row>
    <row r="3" spans="1:13" x14ac:dyDescent="0.25">
      <c r="A3" s="4">
        <v>1</v>
      </c>
      <c r="B3" s="5">
        <f>EDATE(B2,1)</f>
        <v>45920</v>
      </c>
      <c r="C3" s="6">
        <f>I2</f>
        <v>454300000</v>
      </c>
      <c r="D3" s="7"/>
      <c r="E3" s="8"/>
      <c r="F3" s="9"/>
      <c r="G3" s="10">
        <f>IF((B3-$B$2)*12/365=0,0,VLOOKUP((B3-$B$2)*12/365,Rates[],2,TRUE)/12)</f>
        <v>3.5833333333333329E-3</v>
      </c>
      <c r="H3" s="6">
        <f>IF(D3="-",(C3-E3)*G3,IF(D3="+",C3*G3,C3*G3))</f>
        <v>1627908.333333333</v>
      </c>
      <c r="I3" s="11">
        <f>IF(D3="-",C3+H3-E3,IF(D3="+",C3+H3+E3,C3+H3))</f>
        <v>455927908.33333331</v>
      </c>
      <c r="L3">
        <v>2</v>
      </c>
      <c r="M3" s="12">
        <v>4.2999999999999997E-2</v>
      </c>
    </row>
    <row r="4" spans="1:13" x14ac:dyDescent="0.25">
      <c r="A4" s="4">
        <v>2</v>
      </c>
      <c r="B4" s="5">
        <f t="shared" ref="B4:B62" si="0">EDATE(B3,1)</f>
        <v>45950</v>
      </c>
      <c r="C4" s="6">
        <f t="shared" ref="C4:C62" si="1">I3</f>
        <v>455927908.33333331</v>
      </c>
      <c r="D4" s="7"/>
      <c r="E4" s="8"/>
      <c r="F4" s="9"/>
      <c r="G4" s="10">
        <f>IF((B4-$B$2)*12/365=0,0,VLOOKUP((B4-$B$2)*12/365,Rates[],2,TRUE)/12)</f>
        <v>3.5833333333333329E-3</v>
      </c>
      <c r="H4" s="6">
        <f t="shared" ref="H4:H62" si="2">IF(D4="-",(C4-E4)*G4,IF(D4="+",C4*G4,C4*G4))</f>
        <v>1633741.6715277776</v>
      </c>
      <c r="I4" s="11">
        <f t="shared" ref="I4:I62" si="3">IF(D4="-",C4+H4-E4,IF(D4="+",C4+H4+E4,C4+H4))</f>
        <v>457561650.00486112</v>
      </c>
      <c r="L4">
        <v>3</v>
      </c>
      <c r="M4" s="12">
        <v>4.8000000000000001E-2</v>
      </c>
    </row>
    <row r="5" spans="1:13" x14ac:dyDescent="0.25">
      <c r="A5" s="4">
        <v>3</v>
      </c>
      <c r="B5" s="5">
        <f t="shared" si="0"/>
        <v>45981</v>
      </c>
      <c r="C5" s="6">
        <f>I4</f>
        <v>457561650.00486112</v>
      </c>
      <c r="D5" s="7"/>
      <c r="E5" s="13"/>
      <c r="F5" s="14"/>
      <c r="G5" s="10">
        <f>IF((B5-$B$2)*12/365=0,0,VLOOKUP((B5-$B$2)*12/365,Rates[],2,TRUE)/12)</f>
        <v>4.0000000000000001E-3</v>
      </c>
      <c r="H5" s="6">
        <f t="shared" si="2"/>
        <v>1830246.6000194445</v>
      </c>
      <c r="I5" s="11">
        <f t="shared" si="3"/>
        <v>459391896.60488057</v>
      </c>
      <c r="L5">
        <v>6</v>
      </c>
      <c r="M5" s="12">
        <v>5.2999999999999999E-2</v>
      </c>
    </row>
    <row r="6" spans="1:13" x14ac:dyDescent="0.25">
      <c r="A6" s="4">
        <v>4</v>
      </c>
      <c r="B6" s="5">
        <f t="shared" si="0"/>
        <v>46011</v>
      </c>
      <c r="C6" s="6">
        <f>I5</f>
        <v>459391896.60488057</v>
      </c>
      <c r="D6" s="7"/>
      <c r="E6" s="13"/>
      <c r="F6" s="14"/>
      <c r="G6" s="10">
        <f>IF((B6-$B$2)*12/365=0,0,VLOOKUP((B6-$B$2)*12/365,Rates[],2,TRUE)/12)</f>
        <v>4.0000000000000001E-3</v>
      </c>
      <c r="H6" s="6">
        <f t="shared" si="2"/>
        <v>1837567.5864195223</v>
      </c>
      <c r="I6" s="11">
        <f t="shared" si="3"/>
        <v>461229464.19130009</v>
      </c>
      <c r="L6">
        <v>9</v>
      </c>
      <c r="M6" s="12">
        <v>5.2999999999999999E-2</v>
      </c>
    </row>
    <row r="7" spans="1:13" x14ac:dyDescent="0.25">
      <c r="A7" s="4">
        <v>5</v>
      </c>
      <c r="B7" s="5">
        <f t="shared" si="0"/>
        <v>46042</v>
      </c>
      <c r="C7" s="6">
        <f t="shared" si="1"/>
        <v>461229464.19130009</v>
      </c>
      <c r="D7" s="7"/>
      <c r="E7" s="8"/>
      <c r="F7" s="9"/>
      <c r="G7" s="10">
        <f>IF((B7-$B$2)*12/365=0,0,VLOOKUP((B7-$B$2)*12/365,Rates[],2,TRUE)/12)</f>
        <v>4.0000000000000001E-3</v>
      </c>
      <c r="H7" s="6">
        <f t="shared" si="2"/>
        <v>1844917.8567652004</v>
      </c>
      <c r="I7" s="11">
        <f t="shared" si="3"/>
        <v>463074382.0480653</v>
      </c>
      <c r="L7">
        <v>12</v>
      </c>
      <c r="M7" s="12">
        <v>6.8000000000000005E-2</v>
      </c>
    </row>
    <row r="8" spans="1:13" x14ac:dyDescent="0.25">
      <c r="A8" s="4">
        <v>6</v>
      </c>
      <c r="B8" s="5">
        <f t="shared" si="0"/>
        <v>46073</v>
      </c>
      <c r="C8" s="6">
        <f t="shared" si="1"/>
        <v>463074382.0480653</v>
      </c>
      <c r="D8" s="7"/>
      <c r="E8" s="8"/>
      <c r="F8" s="9"/>
      <c r="G8" s="10">
        <f>IF((B8-$B$2)*12/365=0,0,VLOOKUP((B8-$B$2)*12/365,Rates[],2,TRUE)/12)</f>
        <v>4.4166666666666668E-3</v>
      </c>
      <c r="H8" s="6">
        <f t="shared" si="2"/>
        <v>2045245.1873789551</v>
      </c>
      <c r="I8" s="11">
        <f t="shared" si="3"/>
        <v>465119627.23544425</v>
      </c>
      <c r="L8">
        <v>24</v>
      </c>
      <c r="M8" s="12">
        <v>6.8000000000000005E-2</v>
      </c>
    </row>
    <row r="9" spans="1:13" x14ac:dyDescent="0.25">
      <c r="A9" s="4">
        <v>7</v>
      </c>
      <c r="B9" s="5">
        <f t="shared" si="0"/>
        <v>46101</v>
      </c>
      <c r="C9" s="6">
        <f t="shared" si="1"/>
        <v>465119627.23544425</v>
      </c>
      <c r="D9" s="7"/>
      <c r="E9" s="8"/>
      <c r="F9" s="9"/>
      <c r="G9" s="10">
        <f>IF((B9-$B$2)*12/365=0,0,VLOOKUP((B9-$B$2)*12/365,Rates[],2,TRUE)/12)</f>
        <v>4.4166666666666668E-3</v>
      </c>
      <c r="H9" s="6">
        <f t="shared" si="2"/>
        <v>2054278.3536232121</v>
      </c>
      <c r="I9" s="11">
        <f t="shared" si="3"/>
        <v>467173905.58906746</v>
      </c>
      <c r="L9">
        <v>36</v>
      </c>
      <c r="M9" s="12">
        <v>6.8000000000000005E-2</v>
      </c>
    </row>
    <row r="10" spans="1:13" x14ac:dyDescent="0.25">
      <c r="A10" s="4">
        <v>8</v>
      </c>
      <c r="B10" s="5">
        <f t="shared" si="0"/>
        <v>46132</v>
      </c>
      <c r="C10" s="6">
        <f t="shared" si="1"/>
        <v>467173905.58906746</v>
      </c>
      <c r="D10" s="7"/>
      <c r="E10" s="8"/>
      <c r="F10" s="9"/>
      <c r="G10" s="10">
        <f>IF((B10-$B$2)*12/365=0,0,VLOOKUP((B10-$B$2)*12/365,Rates[],2,TRUE)/12)</f>
        <v>4.4166666666666668E-3</v>
      </c>
      <c r="H10" s="6">
        <f t="shared" si="2"/>
        <v>2063351.4163517146</v>
      </c>
      <c r="I10" s="11">
        <f t="shared" si="3"/>
        <v>469237257.00541919</v>
      </c>
      <c r="L10">
        <v>48</v>
      </c>
      <c r="M10" s="12">
        <v>6.8000000000000005E-2</v>
      </c>
    </row>
    <row r="11" spans="1:13" x14ac:dyDescent="0.25">
      <c r="A11" s="4">
        <v>9</v>
      </c>
      <c r="B11" s="5">
        <f t="shared" si="0"/>
        <v>46162</v>
      </c>
      <c r="C11" s="6">
        <f t="shared" si="1"/>
        <v>469237257.00541919</v>
      </c>
      <c r="D11" s="7"/>
      <c r="E11" s="8"/>
      <c r="F11" s="9"/>
      <c r="G11" s="10">
        <f>IF((B11-$B$2)*12/365=0,0,VLOOKUP((B11-$B$2)*12/365,Rates[],2,TRUE)/12)</f>
        <v>4.4166666666666668E-3</v>
      </c>
      <c r="H11" s="6">
        <f t="shared" si="2"/>
        <v>2072464.5517739349</v>
      </c>
      <c r="I11" s="11">
        <f t="shared" si="3"/>
        <v>471309721.5571931</v>
      </c>
      <c r="L11">
        <v>60</v>
      </c>
      <c r="M11" s="12">
        <v>6.8000000000000005E-2</v>
      </c>
    </row>
    <row r="12" spans="1:13" x14ac:dyDescent="0.25">
      <c r="A12" s="4">
        <v>10</v>
      </c>
      <c r="B12" s="5">
        <f t="shared" si="0"/>
        <v>46193</v>
      </c>
      <c r="C12" s="6">
        <f t="shared" si="1"/>
        <v>471309721.5571931</v>
      </c>
      <c r="D12" s="7"/>
      <c r="E12" s="8"/>
      <c r="F12" s="9"/>
      <c r="G12" s="10">
        <f>IF((B12-$B$2)*12/365=0,0,VLOOKUP((B12-$B$2)*12/365,Rates[],2,TRUE)/12)</f>
        <v>4.4166666666666668E-3</v>
      </c>
      <c r="H12" s="6">
        <f t="shared" si="2"/>
        <v>2081617.9368776029</v>
      </c>
      <c r="I12" s="11">
        <f t="shared" si="3"/>
        <v>473391339.49407071</v>
      </c>
    </row>
    <row r="13" spans="1:13" x14ac:dyDescent="0.25">
      <c r="A13" s="4">
        <v>11</v>
      </c>
      <c r="B13" s="5">
        <f t="shared" si="0"/>
        <v>46223</v>
      </c>
      <c r="C13" s="6">
        <f t="shared" si="1"/>
        <v>473391339.49407071</v>
      </c>
      <c r="D13" s="7"/>
      <c r="E13" s="8"/>
      <c r="F13" s="9"/>
      <c r="G13" s="10">
        <f>IF((B13-$B$2)*12/365=0,0,VLOOKUP((B13-$B$2)*12/365,Rates[],2,TRUE)/12)</f>
        <v>4.4166666666666668E-3</v>
      </c>
      <c r="H13" s="6">
        <f t="shared" si="2"/>
        <v>2090811.7494321456</v>
      </c>
      <c r="I13" s="11">
        <f t="shared" si="3"/>
        <v>475482151.24350286</v>
      </c>
    </row>
    <row r="14" spans="1:13" x14ac:dyDescent="0.25">
      <c r="A14" s="4">
        <v>12</v>
      </c>
      <c r="B14" s="5">
        <f t="shared" si="0"/>
        <v>46254</v>
      </c>
      <c r="C14" s="6">
        <f t="shared" si="1"/>
        <v>475482151.24350286</v>
      </c>
      <c r="D14" s="7"/>
      <c r="E14" s="8"/>
      <c r="F14" s="9"/>
      <c r="G14" s="10">
        <f>IF((B14-$B$2)*12/365=0,0,VLOOKUP((B14-$B$2)*12/365,Rates[],2,TRUE)/12)</f>
        <v>5.6666666666666671E-3</v>
      </c>
      <c r="H14" s="6">
        <f t="shared" si="2"/>
        <v>2694398.8570465161</v>
      </c>
      <c r="I14" s="11">
        <f t="shared" si="3"/>
        <v>478176550.1005494</v>
      </c>
    </row>
    <row r="15" spans="1:13" x14ac:dyDescent="0.25">
      <c r="A15" s="4">
        <v>13</v>
      </c>
      <c r="B15" s="5">
        <f t="shared" si="0"/>
        <v>46285</v>
      </c>
      <c r="C15" s="6">
        <f t="shared" si="1"/>
        <v>478176550.1005494</v>
      </c>
      <c r="D15" s="7"/>
      <c r="E15" s="8"/>
      <c r="F15" s="9"/>
      <c r="G15" s="10">
        <f>IF((B15-$B$2)*12/365=0,0,VLOOKUP((B15-$B$2)*12/365,Rates[],2,TRUE)/12)</f>
        <v>5.6666666666666671E-3</v>
      </c>
      <c r="H15" s="6">
        <f t="shared" si="2"/>
        <v>2709667.1172364466</v>
      </c>
      <c r="I15" s="11">
        <f t="shared" si="3"/>
        <v>480886217.21778584</v>
      </c>
    </row>
    <row r="16" spans="1:13" x14ac:dyDescent="0.25">
      <c r="A16" s="4">
        <v>14</v>
      </c>
      <c r="B16" s="5">
        <f t="shared" si="0"/>
        <v>46315</v>
      </c>
      <c r="C16" s="6">
        <f t="shared" si="1"/>
        <v>480886217.21778584</v>
      </c>
      <c r="D16" s="7"/>
      <c r="E16" s="8"/>
      <c r="F16" s="9"/>
      <c r="G16" s="10">
        <f>IF((B16-$B$2)*12/365=0,0,VLOOKUP((B16-$B$2)*12/365,Rates[],2,TRUE)/12)</f>
        <v>5.6666666666666671E-3</v>
      </c>
      <c r="H16" s="6">
        <f t="shared" si="2"/>
        <v>2725021.8975674533</v>
      </c>
      <c r="I16" s="11">
        <f t="shared" si="3"/>
        <v>483611239.11535329</v>
      </c>
    </row>
    <row r="17" spans="1:9" x14ac:dyDescent="0.25">
      <c r="A17" s="4">
        <v>15</v>
      </c>
      <c r="B17" s="5">
        <f t="shared" si="0"/>
        <v>46346</v>
      </c>
      <c r="C17" s="6">
        <f t="shared" si="1"/>
        <v>483611239.11535329</v>
      </c>
      <c r="D17" s="7"/>
      <c r="E17" s="8"/>
      <c r="F17" s="9"/>
      <c r="G17" s="10">
        <f>IF((B17-$B$2)*12/365=0,0,VLOOKUP((B17-$B$2)*12/365,Rates[],2,TRUE)/12)</f>
        <v>5.6666666666666671E-3</v>
      </c>
      <c r="H17" s="6">
        <f t="shared" si="2"/>
        <v>2740463.6883203355</v>
      </c>
      <c r="I17" s="11">
        <f t="shared" si="3"/>
        <v>486351702.80367362</v>
      </c>
    </row>
    <row r="18" spans="1:9" x14ac:dyDescent="0.25">
      <c r="A18" s="4">
        <v>16</v>
      </c>
      <c r="B18" s="5">
        <f t="shared" si="0"/>
        <v>46376</v>
      </c>
      <c r="C18" s="6">
        <f t="shared" si="1"/>
        <v>486351702.80367362</v>
      </c>
      <c r="D18" s="7"/>
      <c r="E18" s="8"/>
      <c r="F18" s="9"/>
      <c r="G18" s="10">
        <f>IF((B18-$B$2)*12/365=0,0,VLOOKUP((B18-$B$2)*12/365,Rates[],2,TRUE)/12)</f>
        <v>5.6666666666666671E-3</v>
      </c>
      <c r="H18" s="6">
        <f t="shared" si="2"/>
        <v>2755992.9825541507</v>
      </c>
      <c r="I18" s="11">
        <f t="shared" si="3"/>
        <v>489107695.78622776</v>
      </c>
    </row>
    <row r="19" spans="1:9" x14ac:dyDescent="0.25">
      <c r="A19" s="4">
        <v>17</v>
      </c>
      <c r="B19" s="5">
        <f t="shared" si="0"/>
        <v>46407</v>
      </c>
      <c r="C19" s="6">
        <f t="shared" si="1"/>
        <v>489107695.78622776</v>
      </c>
      <c r="D19" s="7"/>
      <c r="E19" s="8"/>
      <c r="F19" s="9"/>
      <c r="G19" s="10">
        <f>IF((B19-$B$2)*12/365=0,0,VLOOKUP((B19-$B$2)*12/365,Rates[],2,TRUE)/12)</f>
        <v>5.6666666666666671E-3</v>
      </c>
      <c r="H19" s="6">
        <f t="shared" si="2"/>
        <v>2771610.2761219577</v>
      </c>
      <c r="I19" s="11">
        <f t="shared" si="3"/>
        <v>491879306.06234974</v>
      </c>
    </row>
    <row r="20" spans="1:9" x14ac:dyDescent="0.25">
      <c r="A20" s="4">
        <v>18</v>
      </c>
      <c r="B20" s="5">
        <f t="shared" si="0"/>
        <v>46438</v>
      </c>
      <c r="C20" s="6">
        <f t="shared" si="1"/>
        <v>491879306.06234974</v>
      </c>
      <c r="D20" s="7"/>
      <c r="E20" s="8"/>
      <c r="F20" s="9"/>
      <c r="G20" s="10">
        <f>IF((B20-$B$2)*12/365=0,0,VLOOKUP((B20-$B$2)*12/365,Rates[],2,TRUE)/12)</f>
        <v>5.6666666666666671E-3</v>
      </c>
      <c r="H20" s="6">
        <f t="shared" si="2"/>
        <v>2787316.0676866486</v>
      </c>
      <c r="I20" s="11">
        <f t="shared" si="3"/>
        <v>494666622.13003641</v>
      </c>
    </row>
    <row r="21" spans="1:9" x14ac:dyDescent="0.25">
      <c r="A21" s="4">
        <v>19</v>
      </c>
      <c r="B21" s="5">
        <f t="shared" si="0"/>
        <v>46466</v>
      </c>
      <c r="C21" s="6">
        <f t="shared" si="1"/>
        <v>494666622.13003641</v>
      </c>
      <c r="D21" s="7"/>
      <c r="E21" s="8"/>
      <c r="F21" s="9"/>
      <c r="G21" s="10">
        <f>IF((B21-$B$2)*12/365=0,0,VLOOKUP((B21-$B$2)*12/365,Rates[],2,TRUE)/12)</f>
        <v>5.6666666666666671E-3</v>
      </c>
      <c r="H21" s="6">
        <f t="shared" si="2"/>
        <v>2803110.8587368731</v>
      </c>
      <c r="I21" s="11">
        <f t="shared" si="3"/>
        <v>497469732.98877329</v>
      </c>
    </row>
    <row r="22" spans="1:9" x14ac:dyDescent="0.25">
      <c r="A22" s="4">
        <v>20</v>
      </c>
      <c r="B22" s="5">
        <f t="shared" si="0"/>
        <v>46497</v>
      </c>
      <c r="C22" s="6">
        <f t="shared" si="1"/>
        <v>497469732.98877329</v>
      </c>
      <c r="D22" s="7"/>
      <c r="E22" s="8"/>
      <c r="F22" s="9"/>
      <c r="G22" s="10">
        <f>IF((B22-$B$2)*12/365=0,0,VLOOKUP((B22-$B$2)*12/365,Rates[],2,TRUE)/12)</f>
        <v>5.6666666666666671E-3</v>
      </c>
      <c r="H22" s="6">
        <f t="shared" si="2"/>
        <v>2818995.153603049</v>
      </c>
      <c r="I22" s="11">
        <f t="shared" si="3"/>
        <v>500288728.14237636</v>
      </c>
    </row>
    <row r="23" spans="1:9" x14ac:dyDescent="0.25">
      <c r="A23" s="4">
        <v>21</v>
      </c>
      <c r="B23" s="5">
        <f t="shared" si="0"/>
        <v>46527</v>
      </c>
      <c r="C23" s="6">
        <f t="shared" si="1"/>
        <v>500288728.14237636</v>
      </c>
      <c r="D23" s="7"/>
      <c r="E23" s="8"/>
      <c r="F23" s="9"/>
      <c r="G23" s="10">
        <f>IF((B23-$B$2)*12/365=0,0,VLOOKUP((B23-$B$2)*12/365,Rates[],2,TRUE)/12)</f>
        <v>5.6666666666666671E-3</v>
      </c>
      <c r="H23" s="6">
        <f t="shared" si="2"/>
        <v>2834969.459473466</v>
      </c>
      <c r="I23" s="11">
        <f t="shared" si="3"/>
        <v>503123697.60184985</v>
      </c>
    </row>
    <row r="24" spans="1:9" x14ac:dyDescent="0.25">
      <c r="A24" s="4">
        <v>22</v>
      </c>
      <c r="B24" s="5">
        <f t="shared" si="0"/>
        <v>46558</v>
      </c>
      <c r="C24" s="6">
        <f t="shared" si="1"/>
        <v>503123697.60184985</v>
      </c>
      <c r="D24" s="7"/>
      <c r="E24" s="8"/>
      <c r="F24" s="9"/>
      <c r="G24" s="10">
        <f>IF((B24-$B$2)*12/365=0,0,VLOOKUP((B24-$B$2)*12/365,Rates[],2,TRUE)/12)</f>
        <v>5.6666666666666671E-3</v>
      </c>
      <c r="H24" s="6">
        <f t="shared" si="2"/>
        <v>2851034.2864104826</v>
      </c>
      <c r="I24" s="11">
        <f t="shared" si="3"/>
        <v>505974731.88826036</v>
      </c>
    </row>
    <row r="25" spans="1:9" x14ac:dyDescent="0.25">
      <c r="A25" s="4">
        <v>23</v>
      </c>
      <c r="B25" s="5">
        <f t="shared" si="0"/>
        <v>46588</v>
      </c>
      <c r="C25" s="6">
        <f t="shared" si="1"/>
        <v>505974731.88826036</v>
      </c>
      <c r="D25" s="7"/>
      <c r="E25" s="8"/>
      <c r="F25" s="9"/>
      <c r="G25" s="10">
        <f>IF((B25-$B$2)*12/365=0,0,VLOOKUP((B25-$B$2)*12/365,Rates[],2,TRUE)/12)</f>
        <v>5.6666666666666671E-3</v>
      </c>
      <c r="H25" s="6">
        <f t="shared" si="2"/>
        <v>2867190.1473668087</v>
      </c>
      <c r="I25" s="11">
        <f t="shared" si="3"/>
        <v>508841922.03562719</v>
      </c>
    </row>
    <row r="26" spans="1:9" x14ac:dyDescent="0.25">
      <c r="A26" s="4">
        <v>24</v>
      </c>
      <c r="B26" s="5">
        <f t="shared" si="0"/>
        <v>46619</v>
      </c>
      <c r="C26" s="6">
        <f t="shared" si="1"/>
        <v>508841922.03562719</v>
      </c>
      <c r="D26" s="7"/>
      <c r="E26" s="8"/>
      <c r="F26" s="9"/>
      <c r="G26" s="10">
        <f>IF((B26-$B$2)*12/365=0,0,VLOOKUP((B26-$B$2)*12/365,Rates[],2,TRUE)/12)</f>
        <v>5.6666666666666671E-3</v>
      </c>
      <c r="H26" s="6">
        <f t="shared" si="2"/>
        <v>2883437.5582018876</v>
      </c>
      <c r="I26" s="11">
        <f t="shared" si="3"/>
        <v>511725359.5938291</v>
      </c>
    </row>
    <row r="27" spans="1:9" x14ac:dyDescent="0.25">
      <c r="A27" s="4">
        <v>25</v>
      </c>
      <c r="B27" s="5">
        <f t="shared" si="0"/>
        <v>46650</v>
      </c>
      <c r="C27" s="6">
        <f t="shared" si="1"/>
        <v>511725359.5938291</v>
      </c>
      <c r="D27" s="7"/>
      <c r="E27" s="8"/>
      <c r="F27" s="9"/>
      <c r="G27" s="10">
        <f>IF((B27-$B$2)*12/365=0,0,VLOOKUP((B27-$B$2)*12/365,Rates[],2,TRUE)/12)</f>
        <v>5.6666666666666671E-3</v>
      </c>
      <c r="H27" s="6">
        <f t="shared" si="2"/>
        <v>2899777.0376983653</v>
      </c>
      <c r="I27" s="11">
        <f t="shared" si="3"/>
        <v>514625136.63152748</v>
      </c>
    </row>
    <row r="28" spans="1:9" x14ac:dyDescent="0.25">
      <c r="A28" s="4">
        <v>26</v>
      </c>
      <c r="B28" s="5">
        <f t="shared" si="0"/>
        <v>46680</v>
      </c>
      <c r="C28" s="6">
        <f t="shared" si="1"/>
        <v>514625136.63152748</v>
      </c>
      <c r="D28" s="7"/>
      <c r="E28" s="8"/>
      <c r="F28" s="9"/>
      <c r="G28" s="10">
        <f>IF((B28-$B$2)*12/365=0,0,VLOOKUP((B28-$B$2)*12/365,Rates[],2,TRUE)/12)</f>
        <v>5.6666666666666671E-3</v>
      </c>
      <c r="H28" s="6">
        <f t="shared" si="2"/>
        <v>2916209.1075786562</v>
      </c>
      <c r="I28" s="11">
        <f t="shared" si="3"/>
        <v>517541345.73910612</v>
      </c>
    </row>
    <row r="29" spans="1:9" x14ac:dyDescent="0.25">
      <c r="A29" s="4">
        <v>27</v>
      </c>
      <c r="B29" s="5">
        <f t="shared" si="0"/>
        <v>46711</v>
      </c>
      <c r="C29" s="6">
        <f t="shared" si="1"/>
        <v>517541345.73910612</v>
      </c>
      <c r="D29" s="7"/>
      <c r="E29" s="8"/>
      <c r="F29" s="9"/>
      <c r="G29" s="10">
        <f>IF((B29-$B$2)*12/365=0,0,VLOOKUP((B29-$B$2)*12/365,Rates[],2,TRUE)/12)</f>
        <v>5.6666666666666671E-3</v>
      </c>
      <c r="H29" s="6">
        <f t="shared" si="2"/>
        <v>2932734.2925216015</v>
      </c>
      <c r="I29" s="11">
        <f t="shared" si="3"/>
        <v>520474080.03162771</v>
      </c>
    </row>
    <row r="30" spans="1:9" x14ac:dyDescent="0.25">
      <c r="A30" s="4">
        <v>28</v>
      </c>
      <c r="B30" s="5">
        <f t="shared" si="0"/>
        <v>46741</v>
      </c>
      <c r="C30" s="6">
        <f t="shared" si="1"/>
        <v>520474080.03162771</v>
      </c>
      <c r="D30" s="7"/>
      <c r="E30" s="8"/>
      <c r="F30" s="9"/>
      <c r="G30" s="10">
        <f>IF((B30-$B$2)*12/365=0,0,VLOOKUP((B30-$B$2)*12/365,Rates[],2,TRUE)/12)</f>
        <v>5.6666666666666671E-3</v>
      </c>
      <c r="H30" s="6">
        <f t="shared" si="2"/>
        <v>2949353.1201792238</v>
      </c>
      <c r="I30" s="11">
        <f t="shared" si="3"/>
        <v>523423433.15180695</v>
      </c>
    </row>
    <row r="31" spans="1:9" x14ac:dyDescent="0.25">
      <c r="A31" s="4">
        <v>29</v>
      </c>
      <c r="B31" s="5">
        <f t="shared" si="0"/>
        <v>46772</v>
      </c>
      <c r="C31" s="6">
        <f t="shared" si="1"/>
        <v>523423433.15180695</v>
      </c>
      <c r="D31" s="7"/>
      <c r="E31" s="8"/>
      <c r="F31" s="9"/>
      <c r="G31" s="10">
        <f>IF((B31-$B$2)*12/365=0,0,VLOOKUP((B31-$B$2)*12/365,Rates[],2,TRUE)/12)</f>
        <v>5.6666666666666671E-3</v>
      </c>
      <c r="H31" s="6">
        <f t="shared" si="2"/>
        <v>2966066.1211935729</v>
      </c>
      <c r="I31" s="11">
        <f t="shared" si="3"/>
        <v>526389499.27300054</v>
      </c>
    </row>
    <row r="32" spans="1:9" x14ac:dyDescent="0.25">
      <c r="A32" s="4">
        <v>30</v>
      </c>
      <c r="B32" s="5">
        <f t="shared" si="0"/>
        <v>46803</v>
      </c>
      <c r="C32" s="6">
        <f t="shared" si="1"/>
        <v>526389499.27300054</v>
      </c>
      <c r="D32" s="7"/>
      <c r="E32" s="8"/>
      <c r="F32" s="9"/>
      <c r="G32" s="10">
        <f>IF((B32-$B$2)*12/365=0,0,VLOOKUP((B32-$B$2)*12/365,Rates[],2,TRUE)/12)</f>
        <v>5.6666666666666671E-3</v>
      </c>
      <c r="H32" s="6">
        <f t="shared" si="2"/>
        <v>2982873.82921367</v>
      </c>
      <c r="I32" s="11">
        <f t="shared" si="3"/>
        <v>529372373.10221422</v>
      </c>
    </row>
    <row r="33" spans="1:9" x14ac:dyDescent="0.25">
      <c r="A33" s="4">
        <v>31</v>
      </c>
      <c r="B33" s="5">
        <f t="shared" si="0"/>
        <v>46832</v>
      </c>
      <c r="C33" s="6">
        <f t="shared" si="1"/>
        <v>529372373.10221422</v>
      </c>
      <c r="D33" s="7"/>
      <c r="E33" s="8"/>
      <c r="F33" s="9"/>
      <c r="G33" s="10">
        <f>IF((B33-$B$2)*12/365=0,0,VLOOKUP((B33-$B$2)*12/365,Rates[],2,TRUE)/12)</f>
        <v>5.6666666666666671E-3</v>
      </c>
      <c r="H33" s="6">
        <f t="shared" si="2"/>
        <v>2999776.7809125474</v>
      </c>
      <c r="I33" s="11">
        <f t="shared" si="3"/>
        <v>532372149.88312674</v>
      </c>
    </row>
    <row r="34" spans="1:9" x14ac:dyDescent="0.25">
      <c r="A34" s="4">
        <v>32</v>
      </c>
      <c r="B34" s="5">
        <f t="shared" si="0"/>
        <v>46863</v>
      </c>
      <c r="C34" s="6">
        <f t="shared" si="1"/>
        <v>532372149.88312674</v>
      </c>
      <c r="D34" s="7"/>
      <c r="E34" s="8"/>
      <c r="F34" s="9"/>
      <c r="G34" s="10">
        <f>IF((B34-$B$2)*12/365=0,0,VLOOKUP((B34-$B$2)*12/365,Rates[],2,TRUE)/12)</f>
        <v>5.6666666666666671E-3</v>
      </c>
      <c r="H34" s="6">
        <f t="shared" si="2"/>
        <v>3016775.516004385</v>
      </c>
      <c r="I34" s="11">
        <f t="shared" si="3"/>
        <v>535388925.39913112</v>
      </c>
    </row>
    <row r="35" spans="1:9" x14ac:dyDescent="0.25">
      <c r="A35" s="4">
        <v>33</v>
      </c>
      <c r="B35" s="5">
        <f t="shared" si="0"/>
        <v>46893</v>
      </c>
      <c r="C35" s="6">
        <f t="shared" si="1"/>
        <v>535388925.39913112</v>
      </c>
      <c r="D35" s="7"/>
      <c r="E35" s="8"/>
      <c r="F35" s="9"/>
      <c r="G35" s="10">
        <f>IF((B35-$B$2)*12/365=0,0,VLOOKUP((B35-$B$2)*12/365,Rates[],2,TRUE)/12)</f>
        <v>5.6666666666666671E-3</v>
      </c>
      <c r="H35" s="6">
        <f t="shared" si="2"/>
        <v>3033870.5772617431</v>
      </c>
      <c r="I35" s="11">
        <f t="shared" si="3"/>
        <v>538422795.97639287</v>
      </c>
    </row>
    <row r="36" spans="1:9" x14ac:dyDescent="0.25">
      <c r="A36" s="4">
        <v>34</v>
      </c>
      <c r="B36" s="5">
        <f t="shared" si="0"/>
        <v>46924</v>
      </c>
      <c r="C36" s="6">
        <f t="shared" si="1"/>
        <v>538422795.97639287</v>
      </c>
      <c r="D36" s="7"/>
      <c r="E36" s="8"/>
      <c r="F36" s="9"/>
      <c r="G36" s="10">
        <f>IF((B36-$B$2)*12/365=0,0,VLOOKUP((B36-$B$2)*12/365,Rates[],2,TRUE)/12)</f>
        <v>5.6666666666666671E-3</v>
      </c>
      <c r="H36" s="6">
        <f t="shared" si="2"/>
        <v>3051062.5105328932</v>
      </c>
      <c r="I36" s="11">
        <f t="shared" si="3"/>
        <v>541473858.48692572</v>
      </c>
    </row>
    <row r="37" spans="1:9" x14ac:dyDescent="0.25">
      <c r="A37" s="4">
        <v>35</v>
      </c>
      <c r="B37" s="5">
        <f t="shared" si="0"/>
        <v>46954</v>
      </c>
      <c r="C37" s="6">
        <f t="shared" si="1"/>
        <v>541473858.48692572</v>
      </c>
      <c r="D37" s="7"/>
      <c r="E37" s="8"/>
      <c r="F37" s="9"/>
      <c r="G37" s="10">
        <f>IF((B37-$B$2)*12/365=0,0,VLOOKUP((B37-$B$2)*12/365,Rates[],2,TRUE)/12)</f>
        <v>5.6666666666666671E-3</v>
      </c>
      <c r="H37" s="6">
        <f t="shared" si="2"/>
        <v>3068351.8647592459</v>
      </c>
      <c r="I37" s="11">
        <f t="shared" si="3"/>
        <v>544542210.35168493</v>
      </c>
    </row>
    <row r="38" spans="1:9" x14ac:dyDescent="0.25">
      <c r="A38" s="4">
        <v>36</v>
      </c>
      <c r="B38" s="5">
        <f t="shared" si="0"/>
        <v>46985</v>
      </c>
      <c r="C38" s="6">
        <f t="shared" si="1"/>
        <v>544542210.35168493</v>
      </c>
      <c r="D38" s="7"/>
      <c r="E38" s="8"/>
      <c r="F38" s="9"/>
      <c r="G38" s="10">
        <f>IF((B38-$B$2)*12/365=0,0,VLOOKUP((B38-$B$2)*12/365,Rates[],2,TRUE)/12)</f>
        <v>5.6666666666666671E-3</v>
      </c>
      <c r="H38" s="6">
        <f t="shared" si="2"/>
        <v>3085739.1919928817</v>
      </c>
      <c r="I38" s="11">
        <f t="shared" si="3"/>
        <v>547627949.54367781</v>
      </c>
    </row>
    <row r="39" spans="1:9" x14ac:dyDescent="0.25">
      <c r="A39" s="4">
        <v>37</v>
      </c>
      <c r="B39" s="5">
        <f t="shared" si="0"/>
        <v>47016</v>
      </c>
      <c r="C39" s="6">
        <f t="shared" si="1"/>
        <v>547627949.54367781</v>
      </c>
      <c r="D39" s="7"/>
      <c r="E39" s="8"/>
      <c r="F39" s="9"/>
      <c r="G39" s="10">
        <f>IF((B39-$B$2)*12/365=0,0,VLOOKUP((B39-$B$2)*12/365,Rates[],2,TRUE)/12)</f>
        <v>5.6666666666666671E-3</v>
      </c>
      <c r="H39" s="6">
        <f t="shared" si="2"/>
        <v>3103225.0474141743</v>
      </c>
      <c r="I39" s="11">
        <f t="shared" si="3"/>
        <v>550731174.59109199</v>
      </c>
    </row>
    <row r="40" spans="1:9" x14ac:dyDescent="0.25">
      <c r="A40" s="4">
        <v>38</v>
      </c>
      <c r="B40" s="5">
        <f t="shared" si="0"/>
        <v>47046</v>
      </c>
      <c r="C40" s="6">
        <f t="shared" si="1"/>
        <v>550731174.59109199</v>
      </c>
      <c r="D40" s="7"/>
      <c r="E40" s="8"/>
      <c r="F40" s="9"/>
      <c r="G40" s="10">
        <f>IF((B40-$B$2)*12/365=0,0,VLOOKUP((B40-$B$2)*12/365,Rates[],2,TRUE)/12)</f>
        <v>5.6666666666666671E-3</v>
      </c>
      <c r="H40" s="6">
        <f t="shared" si="2"/>
        <v>3120809.9893495217</v>
      </c>
      <c r="I40" s="11">
        <f t="shared" si="3"/>
        <v>553851984.58044147</v>
      </c>
    </row>
    <row r="41" spans="1:9" x14ac:dyDescent="0.25">
      <c r="A41" s="4">
        <v>39</v>
      </c>
      <c r="B41" s="5">
        <f t="shared" si="0"/>
        <v>47077</v>
      </c>
      <c r="C41" s="6">
        <f t="shared" si="1"/>
        <v>553851984.58044147</v>
      </c>
      <c r="D41" s="7"/>
      <c r="E41" s="8"/>
      <c r="F41" s="9"/>
      <c r="G41" s="10">
        <f>IF((B41-$B$2)*12/365=0,0,VLOOKUP((B41-$B$2)*12/365,Rates[],2,TRUE)/12)</f>
        <v>5.6666666666666671E-3</v>
      </c>
      <c r="H41" s="6">
        <f t="shared" si="2"/>
        <v>3138494.5792891686</v>
      </c>
      <c r="I41" s="11">
        <f t="shared" si="3"/>
        <v>556990479.15973067</v>
      </c>
    </row>
    <row r="42" spans="1:9" x14ac:dyDescent="0.25">
      <c r="A42" s="4">
        <v>40</v>
      </c>
      <c r="B42" s="5">
        <f t="shared" si="0"/>
        <v>47107</v>
      </c>
      <c r="C42" s="6">
        <f t="shared" si="1"/>
        <v>556990479.15973067</v>
      </c>
      <c r="D42" s="7"/>
      <c r="E42" s="8"/>
      <c r="F42" s="9"/>
      <c r="G42" s="10">
        <f>IF((B42-$B$2)*12/365=0,0,VLOOKUP((B42-$B$2)*12/365,Rates[],2,TRUE)/12)</f>
        <v>5.6666666666666671E-3</v>
      </c>
      <c r="H42" s="6">
        <f t="shared" si="2"/>
        <v>3156279.3819051408</v>
      </c>
      <c r="I42" s="11">
        <f t="shared" si="3"/>
        <v>560146758.54163587</v>
      </c>
    </row>
    <row r="43" spans="1:9" x14ac:dyDescent="0.25">
      <c r="A43" s="4">
        <v>41</v>
      </c>
      <c r="B43" s="5">
        <f t="shared" si="0"/>
        <v>47138</v>
      </c>
      <c r="C43" s="6">
        <f t="shared" si="1"/>
        <v>560146758.54163587</v>
      </c>
      <c r="D43" s="7"/>
      <c r="E43" s="8"/>
      <c r="F43" s="9"/>
      <c r="G43" s="10">
        <f>IF((B43-$B$2)*12/365=0,0,VLOOKUP((B43-$B$2)*12/365,Rates[],2,TRUE)/12)</f>
        <v>5.6666666666666671E-3</v>
      </c>
      <c r="H43" s="6">
        <f t="shared" si="2"/>
        <v>3174164.9650692702</v>
      </c>
      <c r="I43" s="11">
        <f t="shared" si="3"/>
        <v>563320923.50670516</v>
      </c>
    </row>
    <row r="44" spans="1:9" x14ac:dyDescent="0.25">
      <c r="A44" s="4">
        <v>42</v>
      </c>
      <c r="B44" s="5">
        <f t="shared" si="0"/>
        <v>47169</v>
      </c>
      <c r="C44" s="6">
        <f t="shared" si="1"/>
        <v>563320923.50670516</v>
      </c>
      <c r="D44" s="7"/>
      <c r="E44" s="8"/>
      <c r="F44" s="9"/>
      <c r="G44" s="10">
        <f>IF((B44-$B$2)*12/365=0,0,VLOOKUP((B44-$B$2)*12/365,Rates[],2,TRUE)/12)</f>
        <v>5.6666666666666671E-3</v>
      </c>
      <c r="H44" s="6">
        <f t="shared" si="2"/>
        <v>3192151.8998713293</v>
      </c>
      <c r="I44" s="11">
        <f t="shared" si="3"/>
        <v>566513075.40657651</v>
      </c>
    </row>
    <row r="45" spans="1:9" x14ac:dyDescent="0.25">
      <c r="A45" s="4">
        <v>43</v>
      </c>
      <c r="B45" s="5">
        <f t="shared" si="0"/>
        <v>47197</v>
      </c>
      <c r="C45" s="6">
        <f t="shared" si="1"/>
        <v>566513075.40657651</v>
      </c>
      <c r="D45" s="7"/>
      <c r="E45" s="8"/>
      <c r="F45" s="9"/>
      <c r="G45" s="10">
        <f>IF((B45-$B$2)*12/365=0,0,VLOOKUP((B45-$B$2)*12/365,Rates[],2,TRUE)/12)</f>
        <v>5.6666666666666671E-3</v>
      </c>
      <c r="H45" s="6">
        <f t="shared" si="2"/>
        <v>3210240.760637267</v>
      </c>
      <c r="I45" s="11">
        <f t="shared" si="3"/>
        <v>569723316.1672138</v>
      </c>
    </row>
    <row r="46" spans="1:9" x14ac:dyDescent="0.25">
      <c r="A46" s="4">
        <v>44</v>
      </c>
      <c r="B46" s="5">
        <f t="shared" si="0"/>
        <v>47228</v>
      </c>
      <c r="C46" s="6">
        <f t="shared" si="1"/>
        <v>569723316.1672138</v>
      </c>
      <c r="D46" s="7"/>
      <c r="E46" s="8"/>
      <c r="F46" s="9"/>
      <c r="G46" s="10">
        <f>IF((B46-$B$2)*12/365=0,0,VLOOKUP((B46-$B$2)*12/365,Rates[],2,TRUE)/12)</f>
        <v>5.6666666666666671E-3</v>
      </c>
      <c r="H46" s="6">
        <f t="shared" si="2"/>
        <v>3228432.1249475451</v>
      </c>
      <c r="I46" s="11">
        <f t="shared" si="3"/>
        <v>572951748.29216135</v>
      </c>
    </row>
    <row r="47" spans="1:9" x14ac:dyDescent="0.25">
      <c r="A47" s="4">
        <v>45</v>
      </c>
      <c r="B47" s="5">
        <f t="shared" si="0"/>
        <v>47258</v>
      </c>
      <c r="C47" s="6">
        <f t="shared" si="1"/>
        <v>572951748.29216135</v>
      </c>
      <c r="D47" s="7"/>
      <c r="E47" s="8"/>
      <c r="F47" s="9"/>
      <c r="G47" s="10">
        <f>IF((B47-$B$2)*12/365=0,0,VLOOKUP((B47-$B$2)*12/365,Rates[],2,TRUE)/12)</f>
        <v>5.6666666666666671E-3</v>
      </c>
      <c r="H47" s="6">
        <f t="shared" si="2"/>
        <v>3246726.5736555811</v>
      </c>
      <c r="I47" s="11">
        <f t="shared" si="3"/>
        <v>576198474.86581695</v>
      </c>
    </row>
    <row r="48" spans="1:9" x14ac:dyDescent="0.25">
      <c r="A48" s="4">
        <v>46</v>
      </c>
      <c r="B48" s="5">
        <f t="shared" si="0"/>
        <v>47289</v>
      </c>
      <c r="C48" s="6">
        <f t="shared" si="1"/>
        <v>576198474.86581695</v>
      </c>
      <c r="D48" s="7"/>
      <c r="E48" s="8"/>
      <c r="F48" s="9"/>
      <c r="G48" s="10">
        <f>IF((B48-$B$2)*12/365=0,0,VLOOKUP((B48-$B$2)*12/365,Rates[],2,TRUE)/12)</f>
        <v>5.6666666666666671E-3</v>
      </c>
      <c r="H48" s="6">
        <f t="shared" si="2"/>
        <v>3265124.6909062965</v>
      </c>
      <c r="I48" s="11">
        <f t="shared" si="3"/>
        <v>579463599.55672324</v>
      </c>
    </row>
    <row r="49" spans="1:9" x14ac:dyDescent="0.25">
      <c r="A49" s="4">
        <v>47</v>
      </c>
      <c r="B49" s="5">
        <f t="shared" si="0"/>
        <v>47319</v>
      </c>
      <c r="C49" s="6">
        <f t="shared" si="1"/>
        <v>579463599.55672324</v>
      </c>
      <c r="D49" s="7"/>
      <c r="E49" s="8"/>
      <c r="F49" s="9"/>
      <c r="G49" s="10">
        <f>IF((B49-$B$2)*12/365=0,0,VLOOKUP((B49-$B$2)*12/365,Rates[],2,TRUE)/12)</f>
        <v>5.6666666666666671E-3</v>
      </c>
      <c r="H49" s="6">
        <f t="shared" si="2"/>
        <v>3283627.0641547651</v>
      </c>
      <c r="I49" s="11">
        <f t="shared" si="3"/>
        <v>582747226.62087798</v>
      </c>
    </row>
    <row r="50" spans="1:9" x14ac:dyDescent="0.25">
      <c r="A50" s="4">
        <v>48</v>
      </c>
      <c r="B50" s="5">
        <f t="shared" si="0"/>
        <v>47350</v>
      </c>
      <c r="C50" s="6">
        <f t="shared" si="1"/>
        <v>582747226.62087798</v>
      </c>
      <c r="D50" s="7"/>
      <c r="E50" s="8"/>
      <c r="F50" s="9"/>
      <c r="G50" s="10">
        <f>IF((B50-$B$2)*12/365=0,0,VLOOKUP((B50-$B$2)*12/365,Rates[],2,TRUE)/12)</f>
        <v>5.6666666666666671E-3</v>
      </c>
      <c r="H50" s="6">
        <f t="shared" si="2"/>
        <v>3302234.2841849755</v>
      </c>
      <c r="I50" s="11">
        <f t="shared" si="3"/>
        <v>586049460.90506291</v>
      </c>
    </row>
    <row r="51" spans="1:9" x14ac:dyDescent="0.25">
      <c r="A51" s="4">
        <v>49</v>
      </c>
      <c r="B51" s="5">
        <f t="shared" si="0"/>
        <v>47381</v>
      </c>
      <c r="C51" s="6">
        <f t="shared" si="1"/>
        <v>586049460.90506291</v>
      </c>
      <c r="D51" s="7"/>
      <c r="E51" s="8"/>
      <c r="F51" s="9"/>
      <c r="G51" s="10">
        <f>IF((B51-$B$2)*12/365=0,0,VLOOKUP((B51-$B$2)*12/365,Rates[],2,TRUE)/12)</f>
        <v>5.6666666666666671E-3</v>
      </c>
      <c r="H51" s="6">
        <f t="shared" si="2"/>
        <v>3320946.94512869</v>
      </c>
      <c r="I51" s="11">
        <f t="shared" si="3"/>
        <v>589370407.85019159</v>
      </c>
    </row>
    <row r="52" spans="1:9" x14ac:dyDescent="0.25">
      <c r="A52" s="4">
        <v>50</v>
      </c>
      <c r="B52" s="5">
        <f t="shared" si="0"/>
        <v>47411</v>
      </c>
      <c r="C52" s="6">
        <f t="shared" si="1"/>
        <v>589370407.85019159</v>
      </c>
      <c r="D52" s="7"/>
      <c r="E52" s="8"/>
      <c r="F52" s="9"/>
      <c r="G52" s="10">
        <f>IF((B52-$B$2)*12/365=0,0,VLOOKUP((B52-$B$2)*12/365,Rates[],2,TRUE)/12)</f>
        <v>5.6666666666666671E-3</v>
      </c>
      <c r="H52" s="6">
        <f t="shared" si="2"/>
        <v>3339765.6444844194</v>
      </c>
      <c r="I52" s="11">
        <f t="shared" si="3"/>
        <v>592710173.49467599</v>
      </c>
    </row>
    <row r="53" spans="1:9" x14ac:dyDescent="0.25">
      <c r="A53" s="4">
        <v>51</v>
      </c>
      <c r="B53" s="5">
        <f t="shared" si="0"/>
        <v>47442</v>
      </c>
      <c r="C53" s="6">
        <f t="shared" si="1"/>
        <v>592710173.49467599</v>
      </c>
      <c r="D53" s="7"/>
      <c r="E53" s="8"/>
      <c r="F53" s="9"/>
      <c r="G53" s="10">
        <f>IF((B53-$B$2)*12/365=0,0,VLOOKUP((B53-$B$2)*12/365,Rates[],2,TRUE)/12)</f>
        <v>5.6666666666666671E-3</v>
      </c>
      <c r="H53" s="6">
        <f t="shared" si="2"/>
        <v>3358690.9831364974</v>
      </c>
      <c r="I53" s="11">
        <f t="shared" si="3"/>
        <v>596068864.47781253</v>
      </c>
    </row>
    <row r="54" spans="1:9" x14ac:dyDescent="0.25">
      <c r="A54" s="4">
        <v>52</v>
      </c>
      <c r="B54" s="5">
        <f t="shared" si="0"/>
        <v>47472</v>
      </c>
      <c r="C54" s="6">
        <f t="shared" si="1"/>
        <v>596068864.47781253</v>
      </c>
      <c r="D54" s="7"/>
      <c r="E54" s="8"/>
      <c r="F54" s="9"/>
      <c r="G54" s="10">
        <f>IF((B54-$B$2)*12/365=0,0,VLOOKUP((B54-$B$2)*12/365,Rates[],2,TRUE)/12)</f>
        <v>5.6666666666666671E-3</v>
      </c>
      <c r="H54" s="6">
        <f t="shared" si="2"/>
        <v>3377723.565374271</v>
      </c>
      <c r="I54" s="11">
        <f t="shared" si="3"/>
        <v>599446588.04318678</v>
      </c>
    </row>
    <row r="55" spans="1:9" x14ac:dyDescent="0.25">
      <c r="A55" s="4">
        <v>53</v>
      </c>
      <c r="B55" s="5">
        <f t="shared" si="0"/>
        <v>47503</v>
      </c>
      <c r="C55" s="6">
        <f t="shared" si="1"/>
        <v>599446588.04318678</v>
      </c>
      <c r="D55" s="7"/>
      <c r="E55" s="8"/>
      <c r="F55" s="9"/>
      <c r="G55" s="10">
        <f>IF((B55-$B$2)*12/365=0,0,VLOOKUP((B55-$B$2)*12/365,Rates[],2,TRUE)/12)</f>
        <v>5.6666666666666671E-3</v>
      </c>
      <c r="H55" s="6">
        <f t="shared" si="2"/>
        <v>3396863.9989113919</v>
      </c>
      <c r="I55" s="11">
        <f t="shared" si="3"/>
        <v>602843452.04209816</v>
      </c>
    </row>
    <row r="56" spans="1:9" x14ac:dyDescent="0.25">
      <c r="A56" s="4">
        <v>54</v>
      </c>
      <c r="B56" s="5">
        <f t="shared" si="0"/>
        <v>47534</v>
      </c>
      <c r="C56" s="6">
        <f t="shared" si="1"/>
        <v>602843452.04209816</v>
      </c>
      <c r="D56" s="7"/>
      <c r="E56" s="8"/>
      <c r="F56" s="9"/>
      <c r="G56" s="10">
        <f>IF((B56-$B$2)*12/365=0,0,VLOOKUP((B56-$B$2)*12/365,Rates[],2,TRUE)/12)</f>
        <v>5.6666666666666671E-3</v>
      </c>
      <c r="H56" s="6">
        <f t="shared" si="2"/>
        <v>3416112.894905223</v>
      </c>
      <c r="I56" s="11">
        <f t="shared" si="3"/>
        <v>606259564.93700337</v>
      </c>
    </row>
    <row r="57" spans="1:9" x14ac:dyDescent="0.25">
      <c r="A57" s="4">
        <v>55</v>
      </c>
      <c r="B57" s="5">
        <f t="shared" si="0"/>
        <v>47562</v>
      </c>
      <c r="C57" s="6">
        <f t="shared" si="1"/>
        <v>606259564.93700337</v>
      </c>
      <c r="D57" s="7"/>
      <c r="E57" s="8"/>
      <c r="F57" s="9"/>
      <c r="G57" s="10">
        <f>IF((B57-$B$2)*12/365=0,0,VLOOKUP((B57-$B$2)*12/365,Rates[],2,TRUE)/12)</f>
        <v>5.6666666666666671E-3</v>
      </c>
      <c r="H57" s="6">
        <f t="shared" si="2"/>
        <v>3435470.8679763526</v>
      </c>
      <c r="I57" s="11">
        <f t="shared" si="3"/>
        <v>609695035.80497968</v>
      </c>
    </row>
    <row r="58" spans="1:9" x14ac:dyDescent="0.25">
      <c r="A58" s="4">
        <v>56</v>
      </c>
      <c r="B58" s="5">
        <f t="shared" si="0"/>
        <v>47593</v>
      </c>
      <c r="C58" s="6">
        <f t="shared" si="1"/>
        <v>609695035.80497968</v>
      </c>
      <c r="D58" s="7"/>
      <c r="E58" s="8"/>
      <c r="F58" s="9"/>
      <c r="G58" s="10">
        <f>IF((B58-$B$2)*12/365=0,0,VLOOKUP((B58-$B$2)*12/365,Rates[],2,TRUE)/12)</f>
        <v>5.6666666666666671E-3</v>
      </c>
      <c r="H58" s="6">
        <f t="shared" si="2"/>
        <v>3454938.5362282186</v>
      </c>
      <c r="I58" s="11">
        <f t="shared" si="3"/>
        <v>613149974.34120786</v>
      </c>
    </row>
    <row r="59" spans="1:9" x14ac:dyDescent="0.25">
      <c r="A59" s="4">
        <v>57</v>
      </c>
      <c r="B59" s="5">
        <f t="shared" si="0"/>
        <v>47623</v>
      </c>
      <c r="C59" s="6">
        <f t="shared" si="1"/>
        <v>613149974.34120786</v>
      </c>
      <c r="D59" s="7"/>
      <c r="E59" s="8"/>
      <c r="F59" s="9"/>
      <c r="G59" s="10">
        <f>IF((B59-$B$2)*12/365=0,0,VLOOKUP((B59-$B$2)*12/365,Rates[],2,TRUE)/12)</f>
        <v>5.6666666666666671E-3</v>
      </c>
      <c r="H59" s="6">
        <f t="shared" si="2"/>
        <v>3474516.5212668446</v>
      </c>
      <c r="I59" s="11">
        <f t="shared" si="3"/>
        <v>616624490.86247468</v>
      </c>
    </row>
    <row r="60" spans="1:9" x14ac:dyDescent="0.25">
      <c r="A60" s="4">
        <v>58</v>
      </c>
      <c r="B60" s="5">
        <f t="shared" si="0"/>
        <v>47654</v>
      </c>
      <c r="C60" s="6">
        <f t="shared" si="1"/>
        <v>616624490.86247468</v>
      </c>
      <c r="D60" s="7"/>
      <c r="E60" s="8"/>
      <c r="F60" s="9"/>
      <c r="G60" s="10">
        <f>IF((B60-$B$2)*12/365=0,0,VLOOKUP((B60-$B$2)*12/365,Rates[],2,TRUE)/12)</f>
        <v>5.6666666666666671E-3</v>
      </c>
      <c r="H60" s="6">
        <f t="shared" si="2"/>
        <v>3494205.4482206902</v>
      </c>
      <c r="I60" s="11">
        <f t="shared" si="3"/>
        <v>620118696.31069541</v>
      </c>
    </row>
    <row r="61" spans="1:9" x14ac:dyDescent="0.25">
      <c r="A61" s="4">
        <v>59</v>
      </c>
      <c r="B61" s="5">
        <f t="shared" si="0"/>
        <v>47684</v>
      </c>
      <c r="C61" s="6">
        <f t="shared" si="1"/>
        <v>620118696.31069541</v>
      </c>
      <c r="D61" s="7"/>
      <c r="E61" s="8"/>
      <c r="F61" s="9"/>
      <c r="G61" s="10">
        <f>IF((B61-$B$2)*12/365=0,0,VLOOKUP((B61-$B$2)*12/365,Rates[],2,TRUE)/12)</f>
        <v>5.6666666666666671E-3</v>
      </c>
      <c r="H61" s="6">
        <f t="shared" si="2"/>
        <v>3514005.9457606077</v>
      </c>
      <c r="I61" s="11">
        <f t="shared" si="3"/>
        <v>623632702.25645602</v>
      </c>
    </row>
    <row r="62" spans="1:9" x14ac:dyDescent="0.25">
      <c r="A62" s="15">
        <v>60</v>
      </c>
      <c r="B62" s="5">
        <f t="shared" si="0"/>
        <v>47715</v>
      </c>
      <c r="C62" s="16">
        <f t="shared" si="1"/>
        <v>623632702.25645602</v>
      </c>
      <c r="D62" s="17"/>
      <c r="E62" s="18"/>
      <c r="F62" s="19"/>
      <c r="G62" s="20">
        <f>IF((B62-$B$2)*12/365=0,0,VLOOKUP((B62-$B$2)*12/365,Rates[],2,TRUE)/12)</f>
        <v>5.6666666666666671E-3</v>
      </c>
      <c r="H62" s="16">
        <f t="shared" si="2"/>
        <v>3533918.6461199177</v>
      </c>
      <c r="I62" s="11">
        <f t="shared" si="3"/>
        <v>627166620.90257597</v>
      </c>
    </row>
  </sheetData>
  <pageMargins left="0.7" right="0.7" top="0.75" bottom="0.75" header="0.3" footer="0.3"/>
  <pageSetup paperSize="9" orientation="portrait"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CEC4-B1B0-40CD-81A8-13C403A0B75B}">
  <dimension ref="A7:G106"/>
  <sheetViews>
    <sheetView showGridLines="0" tabSelected="1" topLeftCell="A4" workbookViewId="0">
      <selection activeCell="D19" sqref="D19:D80"/>
    </sheetView>
  </sheetViews>
  <sheetFormatPr defaultRowHeight="13.8" x14ac:dyDescent="0.25"/>
  <cols>
    <col min="1" max="1" width="13.5" customWidth="1"/>
    <col min="2" max="2" width="21.8984375" customWidth="1"/>
    <col min="3" max="3" width="17.09765625" customWidth="1"/>
    <col min="4" max="4" width="15.8984375" bestFit="1" customWidth="1"/>
    <col min="5" max="5" width="19.19921875" bestFit="1" customWidth="1"/>
    <col min="6" max="6" width="15.8984375" customWidth="1"/>
    <col min="7" max="7" width="12.3984375" customWidth="1"/>
    <col min="8" max="8" width="13.296875" customWidth="1"/>
    <col min="9" max="9" width="12" bestFit="1" customWidth="1"/>
    <col min="10" max="10" width="9" bestFit="1" customWidth="1"/>
  </cols>
  <sheetData>
    <row r="7" spans="1:7" x14ac:dyDescent="0.25">
      <c r="A7" s="21" t="s">
        <v>188</v>
      </c>
      <c r="B7" s="22" t="s">
        <v>189</v>
      </c>
      <c r="C7" s="23">
        <v>779000000</v>
      </c>
      <c r="E7" s="46" t="s">
        <v>10</v>
      </c>
      <c r="F7" s="46"/>
    </row>
    <row r="8" spans="1:7" x14ac:dyDescent="0.25">
      <c r="A8" s="21" t="s">
        <v>11</v>
      </c>
      <c r="B8" s="24">
        <v>0.3</v>
      </c>
      <c r="C8" s="25">
        <f>$C$7*B8</f>
        <v>233700000</v>
      </c>
      <c r="E8" s="9" t="s">
        <v>12</v>
      </c>
      <c r="F8" s="6">
        <f>C7*10%</f>
        <v>77900000</v>
      </c>
    </row>
    <row r="9" spans="1:7" x14ac:dyDescent="0.25">
      <c r="E9" s="9" t="s">
        <v>13</v>
      </c>
      <c r="F9" s="6">
        <v>200000</v>
      </c>
    </row>
    <row r="10" spans="1:7" x14ac:dyDescent="0.25">
      <c r="A10" s="21" t="s">
        <v>14</v>
      </c>
      <c r="B10" s="22">
        <v>60</v>
      </c>
      <c r="C10" s="26">
        <f>C7-C8</f>
        <v>545300000</v>
      </c>
      <c r="E10" s="9"/>
      <c r="F10" s="6">
        <v>500000</v>
      </c>
      <c r="G10" s="27"/>
    </row>
    <row r="11" spans="1:7" x14ac:dyDescent="0.25">
      <c r="A11" s="21" t="s">
        <v>15</v>
      </c>
      <c r="B11" s="28">
        <v>45889</v>
      </c>
      <c r="C11" s="47" t="s">
        <v>185</v>
      </c>
      <c r="E11" s="9" t="s">
        <v>16</v>
      </c>
      <c r="F11" s="6">
        <v>340000</v>
      </c>
    </row>
    <row r="12" spans="1:7" x14ac:dyDescent="0.25">
      <c r="A12" s="21" t="s">
        <v>17</v>
      </c>
      <c r="B12" s="29">
        <v>5.5E-2</v>
      </c>
      <c r="C12" s="48"/>
      <c r="E12" s="9" t="s">
        <v>18</v>
      </c>
      <c r="F12" s="6">
        <v>1560000</v>
      </c>
    </row>
    <row r="13" spans="1:7" x14ac:dyDescent="0.25">
      <c r="A13" s="21" t="s">
        <v>19</v>
      </c>
      <c r="B13" s="29">
        <v>8.8999999999999996E-2</v>
      </c>
      <c r="C13" s="49"/>
      <c r="E13" s="9" t="s">
        <v>20</v>
      </c>
      <c r="F13" s="6">
        <v>943400</v>
      </c>
    </row>
    <row r="14" spans="1:7" x14ac:dyDescent="0.25">
      <c r="E14" s="9" t="s">
        <v>21</v>
      </c>
      <c r="F14" s="6">
        <f>1.62%*C7</f>
        <v>12619800.000000002</v>
      </c>
    </row>
    <row r="15" spans="1:7" x14ac:dyDescent="0.25">
      <c r="A15" s="30" t="s">
        <v>22</v>
      </c>
      <c r="B15" s="31">
        <f>C7+F16</f>
        <v>877063200</v>
      </c>
      <c r="C15" s="32" t="s">
        <v>23</v>
      </c>
      <c r="E15" s="9" t="s">
        <v>24</v>
      </c>
      <c r="F15" s="6">
        <v>4000000</v>
      </c>
    </row>
    <row r="16" spans="1:7" ht="14.4" thickBot="1" x14ac:dyDescent="0.3">
      <c r="A16" s="30" t="s">
        <v>25</v>
      </c>
      <c r="B16" s="33">
        <f ca="1">C16+INDIRECT("F"&amp;B10+14)</f>
        <v>331763200</v>
      </c>
      <c r="C16" s="31">
        <f>C8+F16</f>
        <v>331763200</v>
      </c>
      <c r="E16" s="34" t="s">
        <v>26</v>
      </c>
      <c r="F16" s="35">
        <f>SUM(F8:F15)</f>
        <v>98063200</v>
      </c>
    </row>
    <row r="17" spans="1:6" ht="14.4" thickTop="1" x14ac:dyDescent="0.25"/>
    <row r="18" spans="1:6" x14ac:dyDescent="0.25">
      <c r="A18" s="36" t="s">
        <v>0</v>
      </c>
      <c r="B18" s="36" t="s">
        <v>1</v>
      </c>
      <c r="C18" s="37" t="s">
        <v>27</v>
      </c>
      <c r="D18" s="36" t="s">
        <v>28</v>
      </c>
      <c r="E18" s="36" t="s">
        <v>7</v>
      </c>
      <c r="F18" s="36" t="s">
        <v>29</v>
      </c>
    </row>
    <row r="19" spans="1:6" x14ac:dyDescent="0.25">
      <c r="A19">
        <v>0</v>
      </c>
      <c r="B19" s="38">
        <f>$B$11</f>
        <v>45889</v>
      </c>
      <c r="C19" s="39">
        <f>C10</f>
        <v>545300000</v>
      </c>
      <c r="D19" s="51">
        <v>0</v>
      </c>
      <c r="E19" s="39">
        <v>0</v>
      </c>
      <c r="F19" s="51">
        <v>0</v>
      </c>
    </row>
    <row r="20" spans="1:6" x14ac:dyDescent="0.25">
      <c r="A20">
        <f t="shared" ref="A20:A83" si="0">IF(A19&lt;$B$10,A19+1,"")</f>
        <v>1</v>
      </c>
      <c r="B20" s="38">
        <f>IF(A19&lt;$B$10,DATE(YEAR(B19),MONTH(B19)+1,DAY(B19)),IF(A19=$B$10,"Total",""))</f>
        <v>45920</v>
      </c>
      <c r="C20" s="39">
        <f t="shared" ref="C20:C83" si="1">IF(A20&lt;=$B$10,C19-D20,"")</f>
        <v>536211666.66666669</v>
      </c>
      <c r="D20" s="51">
        <f>IF(A19&lt;$B$10,$C$10/$B$10,IF(A19=$B$10,SUM(D19:D$20),""))</f>
        <v>9088333.333333334</v>
      </c>
      <c r="E20" s="39">
        <f>IF(AND(A19&lt;12,A19&lt;$B$10),C19*$B$12/12,IF(A19&lt;$B$10,C19*$B$13/12,IF(A19=$B$10,SUM(E19:E$20),"")))</f>
        <v>2499291.6666666665</v>
      </c>
      <c r="F20" s="51">
        <f>IF(A19&lt;$B$10,D20+E20,IF(A19=$B$10,SUM(D20:E20),""))</f>
        <v>11587625</v>
      </c>
    </row>
    <row r="21" spans="1:6" x14ac:dyDescent="0.25">
      <c r="A21">
        <f t="shared" si="0"/>
        <v>2</v>
      </c>
      <c r="B21" s="38">
        <f t="shared" ref="B21:B56" si="2">IF(A20&lt;$B$10,DATE(YEAR(B20),MONTH(B20)+1,DAY(B20)),IF(A20=$B$10,"Total",""))</f>
        <v>45950</v>
      </c>
      <c r="C21" s="39">
        <f t="shared" si="1"/>
        <v>527123333.33333337</v>
      </c>
      <c r="D21" s="51">
        <f>IF(A20&lt;$B$10,$C$10/$B$10,IF(A20=$B$10,SUM(D20:D$20),""))</f>
        <v>9088333.333333334</v>
      </c>
      <c r="E21" s="39">
        <f>IF(AND(A20&lt;12,A20&lt;$B$10),C20*$B$12/12,IF(A20&lt;$B$10,C20*$B$13/12,IF(A20=$B$10,SUM(E20:E$20),"")))</f>
        <v>2457636.8055555555</v>
      </c>
      <c r="F21" s="51"/>
    </row>
    <row r="22" spans="1:6" x14ac:dyDescent="0.25">
      <c r="A22">
        <f t="shared" si="0"/>
        <v>3</v>
      </c>
      <c r="B22" s="38">
        <f t="shared" si="2"/>
        <v>45981</v>
      </c>
      <c r="C22" s="39">
        <f t="shared" si="1"/>
        <v>518035000.00000006</v>
      </c>
      <c r="D22" s="51">
        <f>IF(A21&lt;$B$10,$C$10/$B$10,IF(A21=$B$10,SUM(D$20:D21),""))</f>
        <v>9088333.333333334</v>
      </c>
      <c r="E22" s="39">
        <f>IF(AND(A21&lt;12,A21&lt;$B$10),C21*$B$12/12,IF(A21&lt;$B$10,C21*$B$13/12,IF(A21=$B$10,SUM(E$20:E21),"")))</f>
        <v>2415981.9444444445</v>
      </c>
      <c r="F22" s="51"/>
    </row>
    <row r="23" spans="1:6" x14ac:dyDescent="0.25">
      <c r="A23">
        <f t="shared" si="0"/>
        <v>4</v>
      </c>
      <c r="B23" s="38">
        <f t="shared" si="2"/>
        <v>46011</v>
      </c>
      <c r="C23" s="39">
        <f t="shared" si="1"/>
        <v>508946666.66666675</v>
      </c>
      <c r="D23" s="51">
        <f>IF(A22&lt;$B$10,$C$10/$B$10,IF(A22=$B$10,SUM(D$20:D22),""))</f>
        <v>9088333.333333334</v>
      </c>
      <c r="E23" s="39">
        <f>IF(AND(A22&lt;12,A22&lt;$B$10),C22*$B$12/12,IF(A22&lt;$B$10,C22*$B$13/12,IF(A22=$B$10,SUM(E$20:E22),"")))</f>
        <v>2374327.0833333335</v>
      </c>
      <c r="F23" s="51"/>
    </row>
    <row r="24" spans="1:6" x14ac:dyDescent="0.25">
      <c r="A24">
        <f t="shared" si="0"/>
        <v>5</v>
      </c>
      <c r="B24" s="38">
        <f t="shared" si="2"/>
        <v>46042</v>
      </c>
      <c r="C24" s="39">
        <f t="shared" si="1"/>
        <v>499858333.33333343</v>
      </c>
      <c r="D24" s="51">
        <f>IF(A23&lt;$B$10,$C$10/$B$10,IF(A23=$B$10,SUM(D$20:D23),""))</f>
        <v>9088333.333333334</v>
      </c>
      <c r="E24" s="39">
        <f>IF(AND(A23&lt;12,A23&lt;$B$10),C23*$B$12/12,IF(A23&lt;$B$10,C23*$B$13/12,IF(A23=$B$10,SUM(E$20:E23),"")))</f>
        <v>2332672.2222222225</v>
      </c>
      <c r="F24" s="51"/>
    </row>
    <row r="25" spans="1:6" x14ac:dyDescent="0.25">
      <c r="A25">
        <f t="shared" si="0"/>
        <v>6</v>
      </c>
      <c r="B25" s="38">
        <f t="shared" si="2"/>
        <v>46073</v>
      </c>
      <c r="C25" s="39">
        <f t="shared" si="1"/>
        <v>490770000.00000012</v>
      </c>
      <c r="D25" s="51">
        <f>IF(A24&lt;$B$10,$C$10/$B$10,IF(A24=$B$10,SUM(D$20:D24),""))</f>
        <v>9088333.333333334</v>
      </c>
      <c r="E25" s="39">
        <f>IF(AND(A24&lt;12,A24&lt;$B$10),C24*$B$12/12,IF(A24&lt;$B$10,C24*$B$13/12,IF(A24=$B$10,SUM(E$20:E24),"")))</f>
        <v>2291017.3611111115</v>
      </c>
      <c r="F25" s="51"/>
    </row>
    <row r="26" spans="1:6" x14ac:dyDescent="0.25">
      <c r="A26">
        <f t="shared" si="0"/>
        <v>7</v>
      </c>
      <c r="B26" s="38">
        <f t="shared" si="2"/>
        <v>46101</v>
      </c>
      <c r="C26" s="39">
        <f t="shared" si="1"/>
        <v>481681666.66666681</v>
      </c>
      <c r="D26" s="51">
        <f>IF(A25&lt;$B$10,$C$10/$B$10,IF(A25=$B$10,SUM(D$20:D25),""))</f>
        <v>9088333.333333334</v>
      </c>
      <c r="E26" s="39">
        <f>IF(AND(A25&lt;12,A25&lt;$B$10),C25*$B$12/12,IF(A25&lt;$B$10,C25*$B$13/12,IF(A25=$B$10,SUM(E$20:E25),"")))</f>
        <v>2249362.5000000005</v>
      </c>
      <c r="F26" s="51"/>
    </row>
    <row r="27" spans="1:6" x14ac:dyDescent="0.25">
      <c r="A27">
        <f t="shared" si="0"/>
        <v>8</v>
      </c>
      <c r="B27" s="38">
        <f t="shared" si="2"/>
        <v>46132</v>
      </c>
      <c r="C27" s="39">
        <f t="shared" si="1"/>
        <v>472593333.33333349</v>
      </c>
      <c r="D27" s="51">
        <f>IF(A26&lt;$B$10,$C$10/$B$10,IF(A26=$B$10,SUM(D$20:D26),""))</f>
        <v>9088333.333333334</v>
      </c>
      <c r="E27" s="39">
        <f>IF(AND(A26&lt;12,A26&lt;$B$10),C26*$B$12/12,IF(A26&lt;$B$10,C26*$B$13/12,IF(A26=$B$10,SUM(E$20:E26),"")))</f>
        <v>2207707.6388888895</v>
      </c>
      <c r="F27" s="51"/>
    </row>
    <row r="28" spans="1:6" x14ac:dyDescent="0.25">
      <c r="A28">
        <f t="shared" si="0"/>
        <v>9</v>
      </c>
      <c r="B28" s="38">
        <f t="shared" si="2"/>
        <v>46162</v>
      </c>
      <c r="C28" s="39">
        <f t="shared" si="1"/>
        <v>463505000.00000018</v>
      </c>
      <c r="D28" s="51">
        <f>IF(A27&lt;$B$10,$C$10/$B$10,IF(A27=$B$10,SUM(D$20:D27),""))</f>
        <v>9088333.333333334</v>
      </c>
      <c r="E28" s="39">
        <f>IF(AND(A27&lt;12,A27&lt;$B$10),C27*$B$12/12,IF(A27&lt;$B$10,C27*$B$13/12,IF(A27=$B$10,SUM(E$20:E27),"")))</f>
        <v>2166052.7777777785</v>
      </c>
      <c r="F28" s="51"/>
    </row>
    <row r="29" spans="1:6" x14ac:dyDescent="0.25">
      <c r="A29">
        <f t="shared" si="0"/>
        <v>10</v>
      </c>
      <c r="B29" s="38">
        <f t="shared" si="2"/>
        <v>46193</v>
      </c>
      <c r="C29" s="39">
        <f t="shared" si="1"/>
        <v>454416666.66666687</v>
      </c>
      <c r="D29" s="51">
        <f>IF(A28&lt;$B$10,$C$10/$B$10,IF(A28=$B$10,SUM(D$20:D28),""))</f>
        <v>9088333.333333334</v>
      </c>
      <c r="E29" s="39">
        <f>IF(AND(A28&lt;12,A28&lt;$B$10),C28*$B$12/12,IF(A28&lt;$B$10,C28*$B$13/12,IF(A28=$B$10,SUM(E$20:E28),"")))</f>
        <v>2124397.9166666674</v>
      </c>
      <c r="F29" s="51"/>
    </row>
    <row r="30" spans="1:6" x14ac:dyDescent="0.25">
      <c r="A30">
        <f t="shared" si="0"/>
        <v>11</v>
      </c>
      <c r="B30" s="38">
        <f t="shared" si="2"/>
        <v>46223</v>
      </c>
      <c r="C30" s="39">
        <f t="shared" si="1"/>
        <v>445328333.33333355</v>
      </c>
      <c r="D30" s="51">
        <f>IF(A29&lt;$B$10,$C$10/$B$10,IF(A29=$B$10,SUM(D$20:D29),""))</f>
        <v>9088333.333333334</v>
      </c>
      <c r="E30" s="39">
        <f>IF(AND(A29&lt;12,A29&lt;$B$10),C29*$B$12/12,IF(A29&lt;$B$10,C29*$B$13/12,IF(A29=$B$10,SUM(E$20:E29),"")))</f>
        <v>2082743.0555555567</v>
      </c>
      <c r="F30" s="51"/>
    </row>
    <row r="31" spans="1:6" x14ac:dyDescent="0.25">
      <c r="A31">
        <f t="shared" si="0"/>
        <v>12</v>
      </c>
      <c r="B31" s="38">
        <f t="shared" si="2"/>
        <v>46254</v>
      </c>
      <c r="C31" s="39">
        <f t="shared" si="1"/>
        <v>436240000.00000024</v>
      </c>
      <c r="D31" s="51">
        <f>IF(A30&lt;$B$10,$C$10/$B$10,IF(A30=$B$10,SUM(D$20:D30),""))</f>
        <v>9088333.333333334</v>
      </c>
      <c r="E31" s="39">
        <f>IF(AND(A30&lt;12,A30&lt;$B$10),C30*$B$12/12,IF(A30&lt;$B$10,C30*$B$13/12,IF(A30=$B$10,SUM(E$20:E30),"")))</f>
        <v>2041088.1944444457</v>
      </c>
      <c r="F31" s="51"/>
    </row>
    <row r="32" spans="1:6" x14ac:dyDescent="0.25">
      <c r="A32">
        <f t="shared" si="0"/>
        <v>13</v>
      </c>
      <c r="B32" s="38">
        <f t="shared" si="2"/>
        <v>46285</v>
      </c>
      <c r="C32" s="39">
        <f t="shared" si="1"/>
        <v>427151666.66666692</v>
      </c>
      <c r="D32" s="51">
        <f>IF(A31&lt;$B$10,$C$10/$B$10,IF(A31=$B$10,SUM(D$20:D31),""))</f>
        <v>9088333.333333334</v>
      </c>
      <c r="E32" s="39">
        <f>IF(AND(A31&lt;12,A31&lt;$B$10),C31*$B$12/12,IF(A31&lt;$B$10,C31*$B$13/12,IF(A31=$B$10,SUM(E$20:E31),"")))</f>
        <v>3235446.6666666684</v>
      </c>
      <c r="F32" s="51"/>
    </row>
    <row r="33" spans="1:6" x14ac:dyDescent="0.25">
      <c r="A33">
        <f t="shared" si="0"/>
        <v>14</v>
      </c>
      <c r="B33" s="38">
        <f t="shared" si="2"/>
        <v>46315</v>
      </c>
      <c r="C33" s="39">
        <f t="shared" si="1"/>
        <v>418063333.33333361</v>
      </c>
      <c r="D33" s="51">
        <f>IF(A32&lt;$B$10,$C$10/$B$10,IF(A32=$B$10,SUM(D$20:D32),""))</f>
        <v>9088333.333333334</v>
      </c>
      <c r="E33" s="39">
        <f>IF(AND(A32&lt;12,A32&lt;$B$10),C32*$B$12/12,IF(A32&lt;$B$10,C32*$B$13/12,IF(A32=$B$10,SUM(E$20:E32),"")))</f>
        <v>3168041.5277777798</v>
      </c>
      <c r="F33" s="51"/>
    </row>
    <row r="34" spans="1:6" x14ac:dyDescent="0.25">
      <c r="A34">
        <f t="shared" si="0"/>
        <v>15</v>
      </c>
      <c r="B34" s="38">
        <f t="shared" si="2"/>
        <v>46346</v>
      </c>
      <c r="C34" s="39">
        <f t="shared" si="1"/>
        <v>408975000.0000003</v>
      </c>
      <c r="D34" s="51">
        <f>IF(A33&lt;$B$10,$C$10/$B$10,IF(A33=$B$10,SUM(D$20:D33),""))</f>
        <v>9088333.333333334</v>
      </c>
      <c r="E34" s="39">
        <f>IF(AND(A33&lt;12,A33&lt;$B$10),C33*$B$12/12,IF(A33&lt;$B$10,C33*$B$13/12,IF(A33=$B$10,SUM(E$20:E33),"")))</f>
        <v>3100636.3888888904</v>
      </c>
      <c r="F34" s="51"/>
    </row>
    <row r="35" spans="1:6" x14ac:dyDescent="0.25">
      <c r="A35">
        <f t="shared" si="0"/>
        <v>16</v>
      </c>
      <c r="B35" s="38">
        <f t="shared" si="2"/>
        <v>46376</v>
      </c>
      <c r="C35" s="39">
        <f t="shared" si="1"/>
        <v>399886666.66666698</v>
      </c>
      <c r="D35" s="51">
        <f>IF(A34&lt;$B$10,$C$10/$B$10,IF(A34=$B$10,SUM(D$20:D34),""))</f>
        <v>9088333.333333334</v>
      </c>
      <c r="E35" s="39">
        <f>IF(AND(A34&lt;12,A34&lt;$B$10),C34*$B$12/12,IF(A34&lt;$B$10,C34*$B$13/12,IF(A34=$B$10,SUM(E$20:E34),"")))</f>
        <v>3033231.2500000019</v>
      </c>
      <c r="F35" s="51"/>
    </row>
    <row r="36" spans="1:6" x14ac:dyDescent="0.25">
      <c r="A36">
        <f t="shared" si="0"/>
        <v>17</v>
      </c>
      <c r="B36" s="38">
        <f t="shared" si="2"/>
        <v>46407</v>
      </c>
      <c r="C36" s="39">
        <f t="shared" si="1"/>
        <v>390798333.33333367</v>
      </c>
      <c r="D36" s="51">
        <f>IF(A35&lt;$B$10,$C$10/$B$10,IF(A35=$B$10,SUM(D$20:D35),""))</f>
        <v>9088333.333333334</v>
      </c>
      <c r="E36" s="39">
        <f>IF(AND(A35&lt;12,A35&lt;$B$10),C35*$B$12/12,IF(A35&lt;$B$10,C35*$B$13/12,IF(A35=$B$10,SUM(E$20:E35),"")))</f>
        <v>2965826.1111111133</v>
      </c>
      <c r="F36" s="51"/>
    </row>
    <row r="37" spans="1:6" x14ac:dyDescent="0.25">
      <c r="A37">
        <f t="shared" si="0"/>
        <v>18</v>
      </c>
      <c r="B37" s="38">
        <f t="shared" si="2"/>
        <v>46438</v>
      </c>
      <c r="C37" s="39">
        <f t="shared" si="1"/>
        <v>381710000.00000036</v>
      </c>
      <c r="D37" s="51">
        <f>IF(A36&lt;$B$10,$C$10/$B$10,IF(A36=$B$10,SUM(D$20:D36),""))</f>
        <v>9088333.333333334</v>
      </c>
      <c r="E37" s="39">
        <f>IF(AND(A36&lt;12,A36&lt;$B$10),C36*$B$12/12,IF(A36&lt;$B$10,C36*$B$13/12,IF(A36=$B$10,SUM(E$20:E36),"")))</f>
        <v>2898420.9722222243</v>
      </c>
      <c r="F37" s="51"/>
    </row>
    <row r="38" spans="1:6" x14ac:dyDescent="0.25">
      <c r="A38">
        <f t="shared" si="0"/>
        <v>19</v>
      </c>
      <c r="B38" s="38">
        <f t="shared" si="2"/>
        <v>46466</v>
      </c>
      <c r="C38" s="39">
        <f t="shared" si="1"/>
        <v>372621666.66666704</v>
      </c>
      <c r="D38" s="51">
        <f>IF(A37&lt;$B$10,$C$10/$B$10,IF(A37=$B$10,SUM(D$20:D37),""))</f>
        <v>9088333.333333334</v>
      </c>
      <c r="E38" s="39">
        <f>IF(AND(A37&lt;12,A37&lt;$B$10),C37*$B$12/12,IF(A37&lt;$B$10,C37*$B$13/12,IF(A37=$B$10,SUM(E$20:E37),"")))</f>
        <v>2831015.8333333358</v>
      </c>
      <c r="F38" s="51"/>
    </row>
    <row r="39" spans="1:6" x14ac:dyDescent="0.25">
      <c r="A39">
        <f t="shared" si="0"/>
        <v>20</v>
      </c>
      <c r="B39" s="38">
        <f t="shared" si="2"/>
        <v>46497</v>
      </c>
      <c r="C39" s="39">
        <f t="shared" si="1"/>
        <v>363533333.33333373</v>
      </c>
      <c r="D39" s="51">
        <f>IF(A38&lt;$B$10,$C$10/$B$10,IF(A38=$B$10,SUM(D$20:D38),""))</f>
        <v>9088333.333333334</v>
      </c>
      <c r="E39" s="39">
        <f>IF(AND(A38&lt;12,A38&lt;$B$10),C38*$B$12/12,IF(A38&lt;$B$10,C38*$B$13/12,IF(A38=$B$10,SUM(E$20:E38),"")))</f>
        <v>2763610.6944444473</v>
      </c>
      <c r="F39" s="51"/>
    </row>
    <row r="40" spans="1:6" x14ac:dyDescent="0.25">
      <c r="A40">
        <f t="shared" si="0"/>
        <v>21</v>
      </c>
      <c r="B40" s="38">
        <f t="shared" si="2"/>
        <v>46527</v>
      </c>
      <c r="C40" s="39">
        <f t="shared" si="1"/>
        <v>354445000.00000042</v>
      </c>
      <c r="D40" s="51">
        <f>IF(A39&lt;$B$10,$C$10/$B$10,IF(A39=$B$10,SUM(D$20:D39),""))</f>
        <v>9088333.333333334</v>
      </c>
      <c r="E40" s="39">
        <f>IF(AND(A39&lt;12,A39&lt;$B$10),C39*$B$12/12,IF(A39&lt;$B$10,C39*$B$13/12,IF(A39=$B$10,SUM(E$20:E39),"")))</f>
        <v>2696205.5555555583</v>
      </c>
      <c r="F40" s="51"/>
    </row>
    <row r="41" spans="1:6" x14ac:dyDescent="0.25">
      <c r="A41">
        <f t="shared" si="0"/>
        <v>22</v>
      </c>
      <c r="B41" s="38">
        <f t="shared" si="2"/>
        <v>46558</v>
      </c>
      <c r="C41" s="39">
        <f t="shared" si="1"/>
        <v>345356666.6666671</v>
      </c>
      <c r="D41" s="51">
        <f>IF(A40&lt;$B$10,$C$10/$B$10,IF(A40=$B$10,SUM(D$20:D40),""))</f>
        <v>9088333.333333334</v>
      </c>
      <c r="E41" s="39">
        <f>IF(AND(A40&lt;12,A40&lt;$B$10),C40*$B$12/12,IF(A40&lt;$B$10,C40*$B$13/12,IF(A40=$B$10,SUM(E$20:E40),"")))</f>
        <v>2628800.4166666698</v>
      </c>
      <c r="F41" s="51"/>
    </row>
    <row r="42" spans="1:6" x14ac:dyDescent="0.25">
      <c r="A42">
        <f t="shared" si="0"/>
        <v>23</v>
      </c>
      <c r="B42" s="38">
        <f t="shared" si="2"/>
        <v>46588</v>
      </c>
      <c r="C42" s="39">
        <f t="shared" si="1"/>
        <v>336268333.33333379</v>
      </c>
      <c r="D42" s="51">
        <f>IF(A41&lt;$B$10,$C$10/$B$10,IF(A41=$B$10,SUM(D$20:D41),""))</f>
        <v>9088333.333333334</v>
      </c>
      <c r="E42" s="39">
        <f>IF(AND(A41&lt;12,A41&lt;$B$10),C41*$B$12/12,IF(A41&lt;$B$10,C41*$B$13/12,IF(A41=$B$10,SUM(E$20:E41),"")))</f>
        <v>2561395.2777777808</v>
      </c>
      <c r="F42" s="51"/>
    </row>
    <row r="43" spans="1:6" x14ac:dyDescent="0.25">
      <c r="A43">
        <f t="shared" si="0"/>
        <v>24</v>
      </c>
      <c r="B43" s="38">
        <f t="shared" si="2"/>
        <v>46619</v>
      </c>
      <c r="C43" s="39">
        <f t="shared" si="1"/>
        <v>327180000.00000048</v>
      </c>
      <c r="D43" s="51">
        <f>IF(A42&lt;$B$10,$C$10/$B$10,IF(A42=$B$10,SUM(D$20:D42),""))</f>
        <v>9088333.333333334</v>
      </c>
      <c r="E43" s="39">
        <f>IF(AND(A42&lt;12,A42&lt;$B$10),C42*$B$12/12,IF(A42&lt;$B$10,C42*$B$13/12,IF(A42=$B$10,SUM(E$20:E42),"")))</f>
        <v>2493990.1388888923</v>
      </c>
      <c r="F43" s="51"/>
    </row>
    <row r="44" spans="1:6" x14ac:dyDescent="0.25">
      <c r="A44">
        <f t="shared" si="0"/>
        <v>25</v>
      </c>
      <c r="B44" s="38">
        <f t="shared" si="2"/>
        <v>46650</v>
      </c>
      <c r="C44" s="39">
        <f t="shared" si="1"/>
        <v>318091666.66666716</v>
      </c>
      <c r="D44" s="51">
        <f>IF(A43&lt;$B$10,$C$10/$B$10,IF(A43=$B$10,SUM(D$20:D43),""))</f>
        <v>9088333.333333334</v>
      </c>
      <c r="E44" s="39">
        <f>IF(AND(A43&lt;12,A43&lt;$B$10),C43*$B$12/12,IF(A43&lt;$B$10,C43*$B$13/12,IF(A43=$B$10,SUM(E$20:E43),"")))</f>
        <v>2426585.0000000033</v>
      </c>
      <c r="F44" s="51"/>
    </row>
    <row r="45" spans="1:6" x14ac:dyDescent="0.25">
      <c r="A45">
        <f t="shared" si="0"/>
        <v>26</v>
      </c>
      <c r="B45" s="38">
        <f t="shared" si="2"/>
        <v>46680</v>
      </c>
      <c r="C45" s="39">
        <f t="shared" si="1"/>
        <v>309003333.33333385</v>
      </c>
      <c r="D45" s="51">
        <f>IF(A44&lt;$B$10,$C$10/$B$10,IF(A44=$B$10,SUM(D$20:D44),""))</f>
        <v>9088333.333333334</v>
      </c>
      <c r="E45" s="39">
        <f>IF(AND(A44&lt;12,A44&lt;$B$10),C44*$B$12/12,IF(A44&lt;$B$10,C44*$B$13/12,IF(A44=$B$10,SUM(E$20:E44),"")))</f>
        <v>2359179.8611111147</v>
      </c>
      <c r="F45" s="51"/>
    </row>
    <row r="46" spans="1:6" x14ac:dyDescent="0.25">
      <c r="A46">
        <f t="shared" si="0"/>
        <v>27</v>
      </c>
      <c r="B46" s="38">
        <f t="shared" si="2"/>
        <v>46711</v>
      </c>
      <c r="C46" s="39">
        <f t="shared" si="1"/>
        <v>299915000.00000054</v>
      </c>
      <c r="D46" s="51">
        <f>IF(A45&lt;$B$10,$C$10/$B$10,IF(A45=$B$10,SUM(D$20:D45),""))</f>
        <v>9088333.333333334</v>
      </c>
      <c r="E46" s="39">
        <f>IF(AND(A45&lt;12,A45&lt;$B$10),C45*$B$12/12,IF(A45&lt;$B$10,C45*$B$13/12,IF(A45=$B$10,SUM(E$20:E45),"")))</f>
        <v>2291774.7222222262</v>
      </c>
      <c r="F46" s="51"/>
    </row>
    <row r="47" spans="1:6" x14ac:dyDescent="0.25">
      <c r="A47">
        <f t="shared" si="0"/>
        <v>28</v>
      </c>
      <c r="B47" s="38">
        <f t="shared" si="2"/>
        <v>46741</v>
      </c>
      <c r="C47" s="39">
        <f t="shared" si="1"/>
        <v>290826666.66666722</v>
      </c>
      <c r="D47" s="51">
        <f>IF(A46&lt;$B$10,$C$10/$B$10,IF(A46=$B$10,SUM(D$20:D46),""))</f>
        <v>9088333.333333334</v>
      </c>
      <c r="E47" s="39">
        <f>IF(AND(A46&lt;12,A46&lt;$B$10),C46*$B$12/12,IF(A46&lt;$B$10,C46*$B$13/12,IF(A46=$B$10,SUM(E$20:E46),"")))</f>
        <v>2224369.5833333372</v>
      </c>
      <c r="F47" s="51"/>
    </row>
    <row r="48" spans="1:6" x14ac:dyDescent="0.25">
      <c r="A48">
        <f t="shared" si="0"/>
        <v>29</v>
      </c>
      <c r="B48" s="38">
        <f t="shared" si="2"/>
        <v>46772</v>
      </c>
      <c r="C48" s="39">
        <f t="shared" si="1"/>
        <v>281738333.33333391</v>
      </c>
      <c r="D48" s="51">
        <f>IF(A47&lt;$B$10,$C$10/$B$10,IF(A47=$B$10,SUM(D$20:D47),""))</f>
        <v>9088333.333333334</v>
      </c>
      <c r="E48" s="39">
        <f>IF(AND(A47&lt;12,A47&lt;$B$10),C47*$B$12/12,IF(A47&lt;$B$10,C47*$B$13/12,IF(A47=$B$10,SUM(E$20:E47),"")))</f>
        <v>2156964.4444444482</v>
      </c>
      <c r="F48" s="51"/>
    </row>
    <row r="49" spans="1:6" x14ac:dyDescent="0.25">
      <c r="A49">
        <f t="shared" si="0"/>
        <v>30</v>
      </c>
      <c r="B49" s="38">
        <f t="shared" si="2"/>
        <v>46803</v>
      </c>
      <c r="C49" s="39">
        <f t="shared" si="1"/>
        <v>272650000.0000006</v>
      </c>
      <c r="D49" s="51">
        <f>IF(A48&lt;$B$10,$C$10/$B$10,IF(A48=$B$10,SUM(D$20:D48),""))</f>
        <v>9088333.333333334</v>
      </c>
      <c r="E49" s="39">
        <f>IF(AND(A48&lt;12,A48&lt;$B$10),C48*$B$12/12,IF(A48&lt;$B$10,C48*$B$13/12,IF(A48=$B$10,SUM(E$20:E48),"")))</f>
        <v>2089559.3055555597</v>
      </c>
      <c r="F49" s="51"/>
    </row>
    <row r="50" spans="1:6" x14ac:dyDescent="0.25">
      <c r="A50">
        <f t="shared" si="0"/>
        <v>31</v>
      </c>
      <c r="B50" s="38">
        <f t="shared" si="2"/>
        <v>46832</v>
      </c>
      <c r="C50" s="39">
        <f t="shared" si="1"/>
        <v>263561666.66666725</v>
      </c>
      <c r="D50" s="51">
        <f>IF(A49&lt;$B$10,$C$10/$B$10,IF(A49=$B$10,SUM(D$20:D49),""))</f>
        <v>9088333.333333334</v>
      </c>
      <c r="E50" s="39">
        <f>IF(AND(A49&lt;12,A49&lt;$B$10),C49*$B$12/12,IF(A49&lt;$B$10,C49*$B$13/12,IF(A49=$B$10,SUM(E$20:E49),"")))</f>
        <v>2022154.1666666709</v>
      </c>
      <c r="F50" s="51"/>
    </row>
    <row r="51" spans="1:6" x14ac:dyDescent="0.25">
      <c r="A51">
        <f t="shared" si="0"/>
        <v>32</v>
      </c>
      <c r="B51" s="38">
        <f t="shared" si="2"/>
        <v>46863</v>
      </c>
      <c r="C51" s="39">
        <f t="shared" si="1"/>
        <v>254473333.33333391</v>
      </c>
      <c r="D51" s="51">
        <f>IF(A50&lt;$B$10,$C$10/$B$10,IF(A50=$B$10,SUM(D$20:D50),""))</f>
        <v>9088333.333333334</v>
      </c>
      <c r="E51" s="39">
        <f>IF(AND(A50&lt;12,A50&lt;$B$10),C50*$B$12/12,IF(A50&lt;$B$10,C50*$B$13/12,IF(A50=$B$10,SUM(E$20:E50),"")))</f>
        <v>1954749.0277777819</v>
      </c>
      <c r="F51" s="51"/>
    </row>
    <row r="52" spans="1:6" x14ac:dyDescent="0.25">
      <c r="A52">
        <f t="shared" si="0"/>
        <v>33</v>
      </c>
      <c r="B52" s="38">
        <f t="shared" si="2"/>
        <v>46893</v>
      </c>
      <c r="C52" s="39">
        <f t="shared" si="1"/>
        <v>245385000.00000057</v>
      </c>
      <c r="D52" s="51">
        <f>IF(A51&lt;$B$10,$C$10/$B$10,IF(A51=$B$10,SUM(D$20:D51),""))</f>
        <v>9088333.333333334</v>
      </c>
      <c r="E52" s="39">
        <f>IF(AND(A51&lt;12,A51&lt;$B$10),C51*$B$12/12,IF(A51&lt;$B$10,C51*$B$13/12,IF(A51=$B$10,SUM(E$20:E51),"")))</f>
        <v>1887343.888888893</v>
      </c>
      <c r="F52" s="51"/>
    </row>
    <row r="53" spans="1:6" x14ac:dyDescent="0.25">
      <c r="A53">
        <f t="shared" si="0"/>
        <v>34</v>
      </c>
      <c r="B53" s="38">
        <f t="shared" si="2"/>
        <v>46924</v>
      </c>
      <c r="C53" s="39">
        <f t="shared" si="1"/>
        <v>236296666.66666722</v>
      </c>
      <c r="D53" s="51">
        <f>IF(A52&lt;$B$10,$C$10/$B$10,IF(A52=$B$10,SUM(D$20:D52),""))</f>
        <v>9088333.333333334</v>
      </c>
      <c r="E53" s="39">
        <f>IF(AND(A52&lt;12,A52&lt;$B$10),C52*$B$12/12,IF(A52&lt;$B$10,C52*$B$13/12,IF(A52=$B$10,SUM(E$20:E52),"")))</f>
        <v>1819938.750000004</v>
      </c>
      <c r="F53" s="51"/>
    </row>
    <row r="54" spans="1:6" x14ac:dyDescent="0.25">
      <c r="A54">
        <f t="shared" si="0"/>
        <v>35</v>
      </c>
      <c r="B54" s="38">
        <f t="shared" si="2"/>
        <v>46954</v>
      </c>
      <c r="C54" s="39">
        <f t="shared" si="1"/>
        <v>227208333.33333388</v>
      </c>
      <c r="D54" s="51">
        <f>IF(A53&lt;$B$10,$C$10/$B$10,IF(A53=$B$10,SUM(D$20:D53),""))</f>
        <v>9088333.333333334</v>
      </c>
      <c r="E54" s="39">
        <f>IF(AND(A53&lt;12,A53&lt;$B$10),C53*$B$12/12,IF(A53&lt;$B$10,C53*$B$13/12,IF(A53=$B$10,SUM(E$20:E53),"")))</f>
        <v>1752533.611111115</v>
      </c>
      <c r="F54" s="51"/>
    </row>
    <row r="55" spans="1:6" x14ac:dyDescent="0.25">
      <c r="A55">
        <f t="shared" si="0"/>
        <v>36</v>
      </c>
      <c r="B55" s="38">
        <f t="shared" si="2"/>
        <v>46985</v>
      </c>
      <c r="C55" s="39">
        <f t="shared" si="1"/>
        <v>218120000.00000054</v>
      </c>
      <c r="D55" s="51">
        <f>IF(A54&lt;$B$10,$C$10/$B$10,IF(A54=$B$10,SUM(D$20:D54),""))</f>
        <v>9088333.333333334</v>
      </c>
      <c r="E55" s="39">
        <f>IF(AND(A54&lt;12,A54&lt;$B$10),C54*$B$12/12,IF(A54&lt;$B$10,C54*$B$13/12,IF(A54=$B$10,SUM(E$20:E54),"")))</f>
        <v>1685128.472222226</v>
      </c>
      <c r="F55" s="51"/>
    </row>
    <row r="56" spans="1:6" x14ac:dyDescent="0.25">
      <c r="A56">
        <f t="shared" si="0"/>
        <v>37</v>
      </c>
      <c r="B56" s="38">
        <f t="shared" si="2"/>
        <v>47016</v>
      </c>
      <c r="C56" s="39">
        <f t="shared" si="1"/>
        <v>209031666.66666719</v>
      </c>
      <c r="D56" s="51">
        <f>IF(A55&lt;$B$10,$C$10/$B$10,IF(A55=$B$10,SUM(D$20:D55),""))</f>
        <v>9088333.333333334</v>
      </c>
      <c r="E56" s="39">
        <f>IF(AND(A55&lt;12,A55&lt;$B$10),C55*$B$12/12,IF(A55&lt;$B$10,C55*$B$13/12,IF(A55=$B$10,SUM(E$20:E55),"")))</f>
        <v>1617723.3333333374</v>
      </c>
      <c r="F56" s="51"/>
    </row>
    <row r="57" spans="1:6" x14ac:dyDescent="0.25">
      <c r="A57">
        <f t="shared" si="0"/>
        <v>38</v>
      </c>
      <c r="B57" s="38">
        <f t="shared" ref="B57:B104" si="3">IF(A56&lt;$B$10,DATE(YEAR(B56),MONTH(B56)+1,DAY(B56)),IF(A56=$B$10,"Tổng",""))</f>
        <v>47046</v>
      </c>
      <c r="C57" s="39">
        <f t="shared" si="1"/>
        <v>199943333.33333385</v>
      </c>
      <c r="D57" s="51">
        <f>IF(A56&lt;$B$10,$C$10/$B$10,IF(A56=$B$10,SUM(D$20:D56),""))</f>
        <v>9088333.333333334</v>
      </c>
      <c r="E57" s="39">
        <f>IF(AND(A56&lt;12,A56&lt;$B$10),C56*$B$12/12,IF(A56&lt;$B$10,C56*$B$13/12,IF(A56=$B$10,SUM(E$20:E56),"")))</f>
        <v>1550318.1944444485</v>
      </c>
      <c r="F57" s="51"/>
    </row>
    <row r="58" spans="1:6" x14ac:dyDescent="0.25">
      <c r="A58">
        <f t="shared" si="0"/>
        <v>39</v>
      </c>
      <c r="B58" s="38">
        <f t="shared" si="3"/>
        <v>47077</v>
      </c>
      <c r="C58" s="39">
        <f t="shared" si="1"/>
        <v>190855000.00000051</v>
      </c>
      <c r="D58" s="51">
        <f>IF(A57&lt;$B$10,$C$10/$B$10,IF(A57=$B$10,SUM(D$20:D57),""))</f>
        <v>9088333.333333334</v>
      </c>
      <c r="E58" s="39">
        <f>IF(AND(A57&lt;12,A57&lt;$B$10),C57*$B$12/12,IF(A57&lt;$B$10,C57*$B$13/12,IF(A57=$B$10,SUM(E$20:E57),"")))</f>
        <v>1482913.0555555595</v>
      </c>
      <c r="F58" s="51"/>
    </row>
    <row r="59" spans="1:6" x14ac:dyDescent="0.25">
      <c r="A59">
        <f t="shared" si="0"/>
        <v>40</v>
      </c>
      <c r="B59" s="38">
        <f t="shared" si="3"/>
        <v>47107</v>
      </c>
      <c r="C59" s="39">
        <f t="shared" si="1"/>
        <v>181766666.66666716</v>
      </c>
      <c r="D59" s="51">
        <f>IF(A58&lt;$B$10,$C$10/$B$10,IF(A58=$B$10,SUM(D$20:D58),""))</f>
        <v>9088333.333333334</v>
      </c>
      <c r="E59" s="39">
        <f>IF(AND(A58&lt;12,A58&lt;$B$10),C58*$B$12/12,IF(A58&lt;$B$10,C58*$B$13/12,IF(A58=$B$10,SUM(E$20:E58),"")))</f>
        <v>1415507.9166666705</v>
      </c>
      <c r="F59" s="51"/>
    </row>
    <row r="60" spans="1:6" x14ac:dyDescent="0.25">
      <c r="A60">
        <f t="shared" si="0"/>
        <v>41</v>
      </c>
      <c r="B60" s="38">
        <f t="shared" si="3"/>
        <v>47138</v>
      </c>
      <c r="C60" s="39">
        <f t="shared" si="1"/>
        <v>172678333.33333382</v>
      </c>
      <c r="D60" s="51">
        <f>IF(A59&lt;$B$10,$C$10/$B$10,IF(A59=$B$10,SUM(D$20:D59),""))</f>
        <v>9088333.333333334</v>
      </c>
      <c r="E60" s="39">
        <f>IF(AND(A59&lt;12,A59&lt;$B$10),C59*$B$12/12,IF(A59&lt;$B$10,C59*$B$13/12,IF(A59=$B$10,SUM(E$20:E59),"")))</f>
        <v>1348102.7777777815</v>
      </c>
      <c r="F60" s="51"/>
    </row>
    <row r="61" spans="1:6" x14ac:dyDescent="0.25">
      <c r="A61">
        <f t="shared" si="0"/>
        <v>42</v>
      </c>
      <c r="B61" s="38">
        <f t="shared" si="3"/>
        <v>47169</v>
      </c>
      <c r="C61" s="39">
        <f t="shared" si="1"/>
        <v>163590000.00000048</v>
      </c>
      <c r="D61" s="51">
        <f>IF(A60&lt;$B$10,$C$10/$B$10,IF(A60=$B$10,SUM(D$20:D60),""))</f>
        <v>9088333.333333334</v>
      </c>
      <c r="E61" s="39">
        <f>IF(AND(A60&lt;12,A60&lt;$B$10),C60*$B$12/12,IF(A60&lt;$B$10,C60*$B$13/12,IF(A60=$B$10,SUM(E$20:E60),"")))</f>
        <v>1280697.6388888925</v>
      </c>
      <c r="F61" s="51"/>
    </row>
    <row r="62" spans="1:6" x14ac:dyDescent="0.25">
      <c r="A62">
        <f t="shared" si="0"/>
        <v>43</v>
      </c>
      <c r="B62" s="38">
        <f t="shared" si="3"/>
        <v>47197</v>
      </c>
      <c r="C62" s="39">
        <f t="shared" si="1"/>
        <v>154501666.66666713</v>
      </c>
      <c r="D62" s="51">
        <f>IF(A61&lt;$B$10,$C$10/$B$10,IF(A61=$B$10,SUM(D$20:D61),""))</f>
        <v>9088333.333333334</v>
      </c>
      <c r="E62" s="39">
        <f>IF(AND(A61&lt;12,A61&lt;$B$10),C61*$B$12/12,IF(A61&lt;$B$10,C61*$B$13/12,IF(A61=$B$10,SUM(E$20:E61),"")))</f>
        <v>1213292.5000000035</v>
      </c>
      <c r="F62" s="51"/>
    </row>
    <row r="63" spans="1:6" x14ac:dyDescent="0.25">
      <c r="A63">
        <f t="shared" si="0"/>
        <v>44</v>
      </c>
      <c r="B63" s="38">
        <f t="shared" si="3"/>
        <v>47228</v>
      </c>
      <c r="C63" s="39">
        <f t="shared" si="1"/>
        <v>145413333.33333379</v>
      </c>
      <c r="D63" s="51">
        <f>IF(A62&lt;$B$10,$C$10/$B$10,IF(A62=$B$10,SUM(D$20:D62),""))</f>
        <v>9088333.333333334</v>
      </c>
      <c r="E63" s="39">
        <f>IF(AND(A62&lt;12,A62&lt;$B$10),C62*$B$12/12,IF(A62&lt;$B$10,C62*$B$13/12,IF(A62=$B$10,SUM(E$20:E62),"")))</f>
        <v>1145887.3611111145</v>
      </c>
      <c r="F63" s="51"/>
    </row>
    <row r="64" spans="1:6" x14ac:dyDescent="0.25">
      <c r="A64">
        <f t="shared" si="0"/>
        <v>45</v>
      </c>
      <c r="B64" s="38">
        <f t="shared" si="3"/>
        <v>47258</v>
      </c>
      <c r="C64" s="39">
        <f t="shared" si="1"/>
        <v>136325000.00000045</v>
      </c>
      <c r="D64" s="51">
        <f>IF(A63&lt;$B$10,$C$10/$B$10,IF(A63=$B$10,SUM(D$20:D63),""))</f>
        <v>9088333.333333334</v>
      </c>
      <c r="E64" s="39">
        <f>IF(AND(A63&lt;12,A63&lt;$B$10),C63*$B$12/12,IF(A63&lt;$B$10,C63*$B$13/12,IF(A63=$B$10,SUM(E$20:E63),"")))</f>
        <v>1078482.2222222255</v>
      </c>
      <c r="F64" s="51"/>
    </row>
    <row r="65" spans="1:6" x14ac:dyDescent="0.25">
      <c r="A65">
        <f t="shared" si="0"/>
        <v>46</v>
      </c>
      <c r="B65" s="38">
        <f t="shared" si="3"/>
        <v>47289</v>
      </c>
      <c r="C65" s="39">
        <f t="shared" si="1"/>
        <v>127236666.66666712</v>
      </c>
      <c r="D65" s="51">
        <f>IF(A64&lt;$B$10,$C$10/$B$10,IF(A64=$B$10,SUM(D$20:D64),""))</f>
        <v>9088333.333333334</v>
      </c>
      <c r="E65" s="39">
        <f>IF(AND(A64&lt;12,A64&lt;$B$10),C64*$B$12/12,IF(A64&lt;$B$10,C64*$B$13/12,IF(A64=$B$10,SUM(E$20:E64),"")))</f>
        <v>1011077.0833333366</v>
      </c>
      <c r="F65" s="51"/>
    </row>
    <row r="66" spans="1:6" x14ac:dyDescent="0.25">
      <c r="A66">
        <f t="shared" si="0"/>
        <v>47</v>
      </c>
      <c r="B66" s="38">
        <f t="shared" si="3"/>
        <v>47319</v>
      </c>
      <c r="C66" s="39">
        <f t="shared" si="1"/>
        <v>118148333.33333379</v>
      </c>
      <c r="D66" s="51">
        <f>IF(A65&lt;$B$10,$C$10/$B$10,IF(A65=$B$10,SUM(D$20:D65),""))</f>
        <v>9088333.333333334</v>
      </c>
      <c r="E66" s="39">
        <f>IF(AND(A65&lt;12,A65&lt;$B$10),C65*$B$12/12,IF(A65&lt;$B$10,C65*$B$13/12,IF(A65=$B$10,SUM(E$20:E65),"")))</f>
        <v>943671.94444444776</v>
      </c>
      <c r="F66" s="51"/>
    </row>
    <row r="67" spans="1:6" x14ac:dyDescent="0.25">
      <c r="A67">
        <f t="shared" si="0"/>
        <v>48</v>
      </c>
      <c r="B67" s="38">
        <f t="shared" si="3"/>
        <v>47350</v>
      </c>
      <c r="C67" s="39">
        <f t="shared" si="1"/>
        <v>109060000.00000046</v>
      </c>
      <c r="D67" s="51">
        <f>IF(A66&lt;$B$10,$C$10/$B$10,IF(A66=$B$10,SUM(D$20:D66),""))</f>
        <v>9088333.333333334</v>
      </c>
      <c r="E67" s="39">
        <f>IF(AND(A66&lt;12,A66&lt;$B$10),C66*$B$12/12,IF(A66&lt;$B$10,C66*$B$13/12,IF(A66=$B$10,SUM(E$20:E66),"")))</f>
        <v>876266.80555555888</v>
      </c>
      <c r="F67" s="51"/>
    </row>
    <row r="68" spans="1:6" x14ac:dyDescent="0.25">
      <c r="A68">
        <f t="shared" si="0"/>
        <v>49</v>
      </c>
      <c r="B68" s="38">
        <f t="shared" si="3"/>
        <v>47381</v>
      </c>
      <c r="C68" s="39">
        <f t="shared" si="1"/>
        <v>99971666.666667134</v>
      </c>
      <c r="D68" s="51">
        <f>IF(A67&lt;$B$10,$C$10/$B$10,IF(A67=$B$10,SUM(D$20:D67),""))</f>
        <v>9088333.333333334</v>
      </c>
      <c r="E68" s="39">
        <f>IF(AND(A67&lt;12,A67&lt;$B$10),C67*$B$12/12,IF(A67&lt;$B$10,C67*$B$13/12,IF(A67=$B$10,SUM(E$20:E67),"")))</f>
        <v>808861.66666667012</v>
      </c>
      <c r="F68" s="51"/>
    </row>
    <row r="69" spans="1:6" x14ac:dyDescent="0.25">
      <c r="A69">
        <f t="shared" si="0"/>
        <v>50</v>
      </c>
      <c r="B69" s="38">
        <f t="shared" si="3"/>
        <v>47411</v>
      </c>
      <c r="C69" s="39">
        <f t="shared" si="1"/>
        <v>90883333.333333805</v>
      </c>
      <c r="D69" s="51">
        <f>IF(A68&lt;$B$10,$C$10/$B$10,IF(A68=$B$10,SUM(D$20:D68),""))</f>
        <v>9088333.333333334</v>
      </c>
      <c r="E69" s="39">
        <f>IF(AND(A68&lt;12,A68&lt;$B$10),C68*$B$12/12,IF(A68&lt;$B$10,C68*$B$13/12,IF(A68=$B$10,SUM(E$20:E68),"")))</f>
        <v>741456.52777778124</v>
      </c>
      <c r="F69" s="51"/>
    </row>
    <row r="70" spans="1:6" x14ac:dyDescent="0.25">
      <c r="A70">
        <f t="shared" si="0"/>
        <v>51</v>
      </c>
      <c r="B70" s="38">
        <f t="shared" si="3"/>
        <v>47442</v>
      </c>
      <c r="C70" s="39">
        <f t="shared" si="1"/>
        <v>81795000.000000477</v>
      </c>
      <c r="D70" s="51">
        <f>IF(A69&lt;$B$10,$C$10/$B$10,IF(A69=$B$10,SUM(D$20:D69),""))</f>
        <v>9088333.333333334</v>
      </c>
      <c r="E70" s="39">
        <f>IF(AND(A69&lt;12,A69&lt;$B$10),C69*$B$12/12,IF(A69&lt;$B$10,C69*$B$13/12,IF(A69=$B$10,SUM(E$20:E69),"")))</f>
        <v>674051.38888889237</v>
      </c>
      <c r="F70" s="51"/>
    </row>
    <row r="71" spans="1:6" x14ac:dyDescent="0.25">
      <c r="A71">
        <f t="shared" si="0"/>
        <v>52</v>
      </c>
      <c r="B71" s="38">
        <f t="shared" si="3"/>
        <v>47472</v>
      </c>
      <c r="C71" s="39">
        <f t="shared" si="1"/>
        <v>72706666.666667148</v>
      </c>
      <c r="D71" s="51">
        <f>IF(A70&lt;$B$10,$C$10/$B$10,IF(A70=$B$10,SUM(D$20:D70),""))</f>
        <v>9088333.333333334</v>
      </c>
      <c r="E71" s="39">
        <f>IF(AND(A70&lt;12,A70&lt;$B$10),C70*$B$12/12,IF(A70&lt;$B$10,C70*$B$13/12,IF(A70=$B$10,SUM(E$20:E70),"")))</f>
        <v>606646.25000000349</v>
      </c>
      <c r="F71" s="51"/>
    </row>
    <row r="72" spans="1:6" x14ac:dyDescent="0.25">
      <c r="A72">
        <f t="shared" si="0"/>
        <v>53</v>
      </c>
      <c r="B72" s="38">
        <f t="shared" si="3"/>
        <v>47503</v>
      </c>
      <c r="C72" s="39">
        <f t="shared" si="1"/>
        <v>63618333.333333813</v>
      </c>
      <c r="D72" s="51">
        <f>IF(A71&lt;$B$10,$C$10/$B$10,IF(A71=$B$10,SUM(D$20:D71),""))</f>
        <v>9088333.333333334</v>
      </c>
      <c r="E72" s="39">
        <f>IF(AND(A71&lt;12,A71&lt;$B$10),C71*$B$12/12,IF(A71&lt;$B$10,C71*$B$13/12,IF(A71=$B$10,SUM(E$20:E71),"")))</f>
        <v>539241.11111111462</v>
      </c>
      <c r="F72" s="51"/>
    </row>
    <row r="73" spans="1:6" x14ac:dyDescent="0.25">
      <c r="A73">
        <f t="shared" si="0"/>
        <v>54</v>
      </c>
      <c r="B73" s="38">
        <f t="shared" si="3"/>
        <v>47534</v>
      </c>
      <c r="C73" s="39">
        <f t="shared" si="1"/>
        <v>54530000.000000477</v>
      </c>
      <c r="D73" s="51">
        <f>IF(A72&lt;$B$10,$C$10/$B$10,IF(A72=$B$10,SUM(D$20:D72),""))</f>
        <v>9088333.333333334</v>
      </c>
      <c r="E73" s="39">
        <f>IF(AND(A72&lt;12,A72&lt;$B$10),C72*$B$12/12,IF(A72&lt;$B$10,C72*$B$13/12,IF(A72=$B$10,SUM(E$20:E72),"")))</f>
        <v>471835.97222222574</v>
      </c>
      <c r="F73" s="51"/>
    </row>
    <row r="74" spans="1:6" x14ac:dyDescent="0.25">
      <c r="A74">
        <f t="shared" si="0"/>
        <v>55</v>
      </c>
      <c r="B74" s="38">
        <f t="shared" si="3"/>
        <v>47562</v>
      </c>
      <c r="C74" s="39">
        <f t="shared" si="1"/>
        <v>45441666.666667141</v>
      </c>
      <c r="D74" s="51">
        <f>IF(A73&lt;$B$10,$C$10/$B$10,IF(A73=$B$10,SUM(D$20:D73),""))</f>
        <v>9088333.333333334</v>
      </c>
      <c r="E74" s="39">
        <f>IF(AND(A73&lt;12,A73&lt;$B$10),C73*$B$12/12,IF(A73&lt;$B$10,C73*$B$13/12,IF(A73=$B$10,SUM(E$20:E73),"")))</f>
        <v>404430.83333333681</v>
      </c>
      <c r="F74" s="51"/>
    </row>
    <row r="75" spans="1:6" x14ac:dyDescent="0.25">
      <c r="A75">
        <f t="shared" si="0"/>
        <v>56</v>
      </c>
      <c r="B75" s="38">
        <f t="shared" si="3"/>
        <v>47593</v>
      </c>
      <c r="C75" s="39">
        <f t="shared" si="1"/>
        <v>36353333.333333805</v>
      </c>
      <c r="D75" s="51">
        <f>IF(A74&lt;$B$10,$C$10/$B$10,IF(A74=$B$10,SUM(D$20:D74),""))</f>
        <v>9088333.333333334</v>
      </c>
      <c r="E75" s="39">
        <f>IF(AND(A74&lt;12,A74&lt;$B$10),C74*$B$12/12,IF(A74&lt;$B$10,C74*$B$13/12,IF(A74=$B$10,SUM(E$20:E74),"")))</f>
        <v>337025.69444444793</v>
      </c>
      <c r="F75" s="51"/>
    </row>
    <row r="76" spans="1:6" x14ac:dyDescent="0.25">
      <c r="A76">
        <f t="shared" si="0"/>
        <v>57</v>
      </c>
      <c r="B76" s="38">
        <f t="shared" si="3"/>
        <v>47623</v>
      </c>
      <c r="C76" s="39">
        <f t="shared" si="1"/>
        <v>27265000.000000469</v>
      </c>
      <c r="D76" s="51">
        <f>IF(A75&lt;$B$10,$C$10/$B$10,IF(A75=$B$10,SUM(D$20:D75),""))</f>
        <v>9088333.333333334</v>
      </c>
      <c r="E76" s="39">
        <f>IF(AND(A75&lt;12,A75&lt;$B$10),C75*$B$12/12,IF(A75&lt;$B$10,C75*$B$13/12,IF(A75=$B$10,SUM(E$20:E75),"")))</f>
        <v>269620.55555555905</v>
      </c>
      <c r="F76" s="51"/>
    </row>
    <row r="77" spans="1:6" x14ac:dyDescent="0.25">
      <c r="A77">
        <f t="shared" si="0"/>
        <v>58</v>
      </c>
      <c r="B77" s="38">
        <f t="shared" si="3"/>
        <v>47654</v>
      </c>
      <c r="C77" s="39">
        <f t="shared" si="1"/>
        <v>18176666.666667134</v>
      </c>
      <c r="D77" s="51">
        <f>IF(A76&lt;$B$10,$C$10/$B$10,IF(A76=$B$10,SUM(D$20:D76),""))</f>
        <v>9088333.333333334</v>
      </c>
      <c r="E77" s="39">
        <f>IF(AND(A76&lt;12,A76&lt;$B$10),C76*$B$12/12,IF(A76&lt;$B$10,C76*$B$13/12,IF(A76=$B$10,SUM(E$20:E76),"")))</f>
        <v>202215.41666667012</v>
      </c>
      <c r="F77" s="51"/>
    </row>
    <row r="78" spans="1:6" x14ac:dyDescent="0.25">
      <c r="A78">
        <f t="shared" si="0"/>
        <v>59</v>
      </c>
      <c r="B78" s="38">
        <f t="shared" si="3"/>
        <v>47684</v>
      </c>
      <c r="C78" s="39">
        <f t="shared" si="1"/>
        <v>9088333.3333337996</v>
      </c>
      <c r="D78" s="51">
        <f>IF(A77&lt;$B$10,$C$10/$B$10,IF(A77=$B$10,SUM(D$20:D77),""))</f>
        <v>9088333.333333334</v>
      </c>
      <c r="E78" s="39">
        <f>IF(AND(A77&lt;12,A77&lt;$B$10),C77*$B$12/12,IF(A77&lt;$B$10,C77*$B$13/12,IF(A77=$B$10,SUM(E$20:E77),"")))</f>
        <v>134810.27777778122</v>
      </c>
      <c r="F78" s="51"/>
    </row>
    <row r="79" spans="1:6" x14ac:dyDescent="0.25">
      <c r="A79">
        <f t="shared" si="0"/>
        <v>60</v>
      </c>
      <c r="B79" s="38">
        <f t="shared" si="3"/>
        <v>47715</v>
      </c>
      <c r="C79" s="39">
        <f t="shared" si="1"/>
        <v>4.6566128730773926E-7</v>
      </c>
      <c r="D79" s="51">
        <f>IF(A78&lt;$B$10,$C$10/$B$10,IF(A78=$B$10,SUM(D$20:D78),""))</f>
        <v>9088333.333333334</v>
      </c>
      <c r="E79" s="39">
        <f>IF(AND(A78&lt;12,A78&lt;$B$10),C78*$B$12/12,IF(A78&lt;$B$10,C78*$B$13/12,IF(A78=$B$10,SUM(E$20:E78),"")))</f>
        <v>67405.138888892339</v>
      </c>
      <c r="F79" s="51"/>
    </row>
    <row r="80" spans="1:6" x14ac:dyDescent="0.25">
      <c r="A80" t="str">
        <f t="shared" si="0"/>
        <v/>
      </c>
      <c r="B80" s="38" t="str">
        <f t="shared" si="3"/>
        <v>Tổng</v>
      </c>
      <c r="C80" s="39" t="str">
        <f t="shared" si="1"/>
        <v/>
      </c>
      <c r="D80" s="51">
        <f>IF(A79&lt;$B$10,$C$10/$B$10,IF(A79=$B$10,SUM(D$20:D79),""))</f>
        <v>545299999.99999952</v>
      </c>
      <c r="E80" s="39">
        <f>IF(AND(A79&lt;12,A79&lt;$B$10),C79*$B$12/12,IF(A79&lt;$B$10,C79*$B$13/12,IF(A79=$B$10,SUM(E$20:E79),"")))</f>
        <v>106510722.50000015</v>
      </c>
      <c r="F80" s="51"/>
    </row>
    <row r="81" spans="1:6" x14ac:dyDescent="0.25">
      <c r="A81" t="str">
        <f t="shared" si="0"/>
        <v/>
      </c>
      <c r="B81" s="38" t="str">
        <f t="shared" si="3"/>
        <v/>
      </c>
      <c r="C81" s="39" t="str">
        <f t="shared" si="1"/>
        <v/>
      </c>
      <c r="D81" s="39" t="str">
        <f>IF(A80&lt;$B$10,$C$10/$B$10,IF(A80=$B$10,SUM(D$20:D80),""))</f>
        <v/>
      </c>
      <c r="E81" s="39" t="str">
        <f>IF(AND(A80&lt;12,A80&lt;$B$10),C80*$B$12/12,IF(A80&lt;$B$10,C80*$B$13/12,IF(A80=$B$10,SUM(E$20:E80),"")))</f>
        <v/>
      </c>
      <c r="F81" s="39"/>
    </row>
    <row r="82" spans="1:6" x14ac:dyDescent="0.25">
      <c r="A82" t="str">
        <f t="shared" si="0"/>
        <v/>
      </c>
      <c r="B82" s="38" t="str">
        <f t="shared" si="3"/>
        <v/>
      </c>
      <c r="C82" s="39" t="str">
        <f t="shared" si="1"/>
        <v/>
      </c>
      <c r="D82" s="39" t="str">
        <f>IF(A81&lt;$B$10,$C$10/$B$10,IF(A81=$B$10,SUM(D$20:D81),""))</f>
        <v/>
      </c>
      <c r="E82" s="39" t="str">
        <f>IF(AND(A81&lt;12,A81&lt;$B$10),C81*$B$12/12,IF(A81&lt;$B$10,C81*$B$13/12,IF(A81=$B$10,SUM(E$20:E81),"")))</f>
        <v/>
      </c>
      <c r="F82" s="39"/>
    </row>
    <row r="83" spans="1:6" x14ac:dyDescent="0.25">
      <c r="A83" t="str">
        <f t="shared" si="0"/>
        <v/>
      </c>
      <c r="B83" s="38" t="str">
        <f t="shared" si="3"/>
        <v/>
      </c>
      <c r="C83" s="39" t="str">
        <f t="shared" si="1"/>
        <v/>
      </c>
      <c r="D83" s="39" t="str">
        <f>IF(A82&lt;$B$10,$C$10/$B$10,IF(A82=$B$10,SUM(D$20:D82),""))</f>
        <v/>
      </c>
      <c r="E83" s="39" t="str">
        <f>IF(AND(A82&lt;12,A82&lt;$B$10),C82*$B$12/12,IF(A82&lt;$B$10,C82*$B$13/12,IF(A82=$B$10,SUM(E$20:E82),"")))</f>
        <v/>
      </c>
      <c r="F83" s="39"/>
    </row>
    <row r="84" spans="1:6" x14ac:dyDescent="0.25">
      <c r="A84" t="str">
        <f t="shared" ref="A84:A104" si="4">IF(A83&lt;$B$10,A83+1,"")</f>
        <v/>
      </c>
      <c r="B84" s="38" t="str">
        <f t="shared" si="3"/>
        <v/>
      </c>
      <c r="C84" s="39" t="str">
        <f t="shared" ref="C84:C104" si="5">IF(A84&lt;=$B$10,C83-D84,"")</f>
        <v/>
      </c>
      <c r="D84" s="39" t="str">
        <f>IF(A83&lt;$B$10,$C$10/$B$10,IF(A83=$B$10,SUM(D$20:D83),""))</f>
        <v/>
      </c>
      <c r="E84" s="39" t="str">
        <f>IF(AND(A83&lt;12,A83&lt;$B$10),C83*$B$12/12,IF(A83&lt;$B$10,C83*$B$13/12,IF(A83=$B$10,SUM(E$20:E83),"")))</f>
        <v/>
      </c>
      <c r="F84" s="39"/>
    </row>
    <row r="85" spans="1:6" x14ac:dyDescent="0.25">
      <c r="A85" t="str">
        <f t="shared" si="4"/>
        <v/>
      </c>
      <c r="B85" s="38" t="str">
        <f t="shared" si="3"/>
        <v/>
      </c>
      <c r="C85" s="39" t="str">
        <f t="shared" si="5"/>
        <v/>
      </c>
      <c r="D85" s="39" t="str">
        <f>IF(A84&lt;$B$10,$C$10/$B$10,IF(A84=$B$10,SUM(D$20:D84),""))</f>
        <v/>
      </c>
      <c r="E85" s="39" t="str">
        <f>IF(AND(A84&lt;12,A84&lt;$B$10),C84*$B$12/12,IF(A84&lt;$B$10,C84*$B$13/12,IF(A84=$B$10,SUM(E$20:E84),"")))</f>
        <v/>
      </c>
      <c r="F85" s="39"/>
    </row>
    <row r="86" spans="1:6" x14ac:dyDescent="0.25">
      <c r="A86" t="str">
        <f t="shared" si="4"/>
        <v/>
      </c>
      <c r="B86" s="38" t="str">
        <f t="shared" si="3"/>
        <v/>
      </c>
      <c r="C86" s="39" t="str">
        <f t="shared" si="5"/>
        <v/>
      </c>
      <c r="D86" s="39" t="str">
        <f>IF(A85&lt;$B$10,$C$10/$B$10,IF(A85=$B$10,SUM(D$20:D85),""))</f>
        <v/>
      </c>
      <c r="E86" s="39" t="str">
        <f>IF(AND(A85&lt;12,A85&lt;$B$10),C85*$B$12/12,IF(A85&lt;$B$10,C85*$B$13/12,IF(A85=$B$10,SUM(E$20:E85),"")))</f>
        <v/>
      </c>
      <c r="F86" s="39"/>
    </row>
    <row r="87" spans="1:6" x14ac:dyDescent="0.25">
      <c r="A87" t="str">
        <f t="shared" si="4"/>
        <v/>
      </c>
      <c r="B87" s="38" t="str">
        <f t="shared" si="3"/>
        <v/>
      </c>
      <c r="C87" s="39" t="str">
        <f t="shared" si="5"/>
        <v/>
      </c>
      <c r="D87" s="39" t="str">
        <f>IF(A86&lt;$B$10,$C$10/$B$10,IF(A86=$B$10,SUM(D$20:D86),""))</f>
        <v/>
      </c>
      <c r="E87" s="39" t="str">
        <f>IF(AND(A86&lt;12,A86&lt;$B$10),C86*$B$12/12,IF(A86&lt;$B$10,C86*$B$13/12,IF(A86=$B$10,SUM(E$20:E86),"")))</f>
        <v/>
      </c>
      <c r="F87" s="39"/>
    </row>
    <row r="88" spans="1:6" x14ac:dyDescent="0.25">
      <c r="A88" t="str">
        <f t="shared" si="4"/>
        <v/>
      </c>
      <c r="B88" s="38" t="str">
        <f t="shared" si="3"/>
        <v/>
      </c>
      <c r="C88" s="39" t="str">
        <f t="shared" si="5"/>
        <v/>
      </c>
      <c r="D88" s="39" t="str">
        <f>IF(A87&lt;$B$10,$C$10/$B$10,IF(A87=$B$10,SUM(D$20:D87),""))</f>
        <v/>
      </c>
      <c r="E88" s="39" t="str">
        <f>IF(AND(A87&lt;12,A87&lt;$B$10),C87*$B$12/12,IF(A87&lt;$B$10,C87*$B$13/12,IF(A87=$B$10,SUM(E$20:E87),"")))</f>
        <v/>
      </c>
      <c r="F88" s="39"/>
    </row>
    <row r="89" spans="1:6" x14ac:dyDescent="0.25">
      <c r="A89" t="str">
        <f t="shared" si="4"/>
        <v/>
      </c>
      <c r="B89" s="38" t="str">
        <f t="shared" si="3"/>
        <v/>
      </c>
      <c r="C89" s="39" t="str">
        <f t="shared" si="5"/>
        <v/>
      </c>
      <c r="D89" s="39" t="str">
        <f>IF(A88&lt;$B$10,$C$10/$B$10,IF(A88=$B$10,SUM(D$20:D88),""))</f>
        <v/>
      </c>
      <c r="E89" s="39" t="str">
        <f>IF(AND(A88&lt;12,A88&lt;$B$10),C88*$B$12/12,IF(A88&lt;$B$10,C88*$B$13/12,IF(A88=$B$10,SUM(E$20:E88),"")))</f>
        <v/>
      </c>
      <c r="F89" s="39"/>
    </row>
    <row r="90" spans="1:6" x14ac:dyDescent="0.25">
      <c r="A90" t="str">
        <f t="shared" si="4"/>
        <v/>
      </c>
      <c r="B90" s="38" t="str">
        <f t="shared" si="3"/>
        <v/>
      </c>
      <c r="C90" s="39" t="str">
        <f t="shared" si="5"/>
        <v/>
      </c>
      <c r="D90" s="39" t="str">
        <f>IF(A89&lt;$B$10,$C$10/$B$10,IF(A89=$B$10,SUM(D$20:D89),""))</f>
        <v/>
      </c>
      <c r="E90" s="39" t="str">
        <f>IF(AND(A89&lt;12,A89&lt;$B$10),C89*$B$12/12,IF(A89&lt;$B$10,C89*$B$13/12,IF(A89=$B$10,SUM(E$20:E89),"")))</f>
        <v/>
      </c>
      <c r="F90" s="39"/>
    </row>
    <row r="91" spans="1:6" x14ac:dyDescent="0.25">
      <c r="A91" t="str">
        <f t="shared" si="4"/>
        <v/>
      </c>
      <c r="B91" s="38" t="str">
        <f t="shared" si="3"/>
        <v/>
      </c>
      <c r="C91" s="39" t="str">
        <f t="shared" si="5"/>
        <v/>
      </c>
      <c r="D91" s="39" t="str">
        <f>IF(A90&lt;$B$10,$C$10/$B$10,IF(A90=$B$10,SUM(D$20:D90),""))</f>
        <v/>
      </c>
      <c r="E91" s="39" t="str">
        <f>IF(AND(A90&lt;12,A90&lt;$B$10),C90*$B$12/12,IF(A90&lt;$B$10,C90*$B$13/12,IF(A90=$B$10,SUM(E$20:E90),"")))</f>
        <v/>
      </c>
      <c r="F91" s="39"/>
    </row>
    <row r="92" spans="1:6" x14ac:dyDescent="0.25">
      <c r="A92" t="str">
        <f t="shared" si="4"/>
        <v/>
      </c>
      <c r="B92" s="38" t="str">
        <f t="shared" si="3"/>
        <v/>
      </c>
      <c r="C92" s="39" t="str">
        <f t="shared" si="5"/>
        <v/>
      </c>
      <c r="D92" s="39" t="str">
        <f>IF(A91&lt;$B$10,$C$10/$B$10,IF(A91=$B$10,SUM(D$20:D91),""))</f>
        <v/>
      </c>
      <c r="E92" s="39" t="str">
        <f>IF(AND(A91&lt;12,A91&lt;$B$10),C91*$B$12/12,IF(A91&lt;$B$10,C91*$B$13/12,IF(A91=$B$10,SUM(E$20:E91),"")))</f>
        <v/>
      </c>
      <c r="F92" s="39"/>
    </row>
    <row r="93" spans="1:6" x14ac:dyDescent="0.25">
      <c r="A93" t="str">
        <f t="shared" si="4"/>
        <v/>
      </c>
      <c r="B93" s="38" t="str">
        <f t="shared" si="3"/>
        <v/>
      </c>
      <c r="C93" s="39" t="str">
        <f t="shared" si="5"/>
        <v/>
      </c>
      <c r="D93" s="39" t="str">
        <f>IF(A92&lt;$B$10,$C$10/$B$10,IF(A92=$B$10,SUM(D$20:D92),""))</f>
        <v/>
      </c>
      <c r="E93" s="39" t="str">
        <f>IF(AND(A92&lt;12,A92&lt;$B$10),C92*$B$12/12,IF(A92&lt;$B$10,C92*$B$13/12,IF(A92=$B$10,SUM(E$20:E92),"")))</f>
        <v/>
      </c>
      <c r="F93" s="39"/>
    </row>
    <row r="94" spans="1:6" x14ac:dyDescent="0.25">
      <c r="A94" t="str">
        <f t="shared" si="4"/>
        <v/>
      </c>
      <c r="B94" s="38" t="str">
        <f t="shared" si="3"/>
        <v/>
      </c>
      <c r="C94" s="39" t="str">
        <f t="shared" si="5"/>
        <v/>
      </c>
      <c r="D94" s="39" t="str">
        <f>IF(A93&lt;$B$10,$C$10/$B$10,IF(A93=$B$10,SUM(D$20:D93),""))</f>
        <v/>
      </c>
      <c r="E94" s="39" t="str">
        <f>IF(AND(A93&lt;12,A93&lt;$B$10),C93*$B$12/12,IF(A93&lt;$B$10,C93*$B$13/12,IF(A93=$B$10,SUM(E$20:E93),"")))</f>
        <v/>
      </c>
      <c r="F94" s="39"/>
    </row>
    <row r="95" spans="1:6" x14ac:dyDescent="0.25">
      <c r="A95" t="str">
        <f t="shared" si="4"/>
        <v/>
      </c>
      <c r="B95" s="38" t="str">
        <f t="shared" si="3"/>
        <v/>
      </c>
      <c r="C95" s="39" t="str">
        <f t="shared" si="5"/>
        <v/>
      </c>
      <c r="D95" s="39" t="str">
        <f>IF(A94&lt;$B$10,$C$10/$B$10,IF(A94=$B$10,SUM(D$20:D94),""))</f>
        <v/>
      </c>
      <c r="E95" s="39" t="str">
        <f>IF(AND(A94&lt;12,A94&lt;$B$10),C94*$B$12/12,IF(A94&lt;$B$10,C94*$B$13/12,IF(A94=$B$10,SUM(E$20:E94),"")))</f>
        <v/>
      </c>
      <c r="F95" s="39"/>
    </row>
    <row r="96" spans="1:6" x14ac:dyDescent="0.25">
      <c r="A96" t="str">
        <f t="shared" si="4"/>
        <v/>
      </c>
      <c r="B96" s="38" t="str">
        <f t="shared" si="3"/>
        <v/>
      </c>
      <c r="C96" s="39" t="str">
        <f t="shared" si="5"/>
        <v/>
      </c>
      <c r="D96" s="39" t="str">
        <f>IF(A95&lt;$B$10,$C$10/$B$10,IF(A95=$B$10,SUM(D$20:D95),""))</f>
        <v/>
      </c>
      <c r="E96" s="39" t="str">
        <f>IF(AND(A95&lt;12,A95&lt;$B$10),C95*$B$12/12,IF(A95&lt;$B$10,C95*$B$13/12,IF(A95=$B$10,SUM(E$20:E95),"")))</f>
        <v/>
      </c>
      <c r="F96" s="39"/>
    </row>
    <row r="97" spans="1:6" x14ac:dyDescent="0.25">
      <c r="A97" t="str">
        <f t="shared" si="4"/>
        <v/>
      </c>
      <c r="B97" s="38" t="str">
        <f t="shared" si="3"/>
        <v/>
      </c>
      <c r="C97" s="39" t="str">
        <f t="shared" si="5"/>
        <v/>
      </c>
      <c r="D97" s="39" t="str">
        <f>IF(A96&lt;$B$10,$C$10/$B$10,IF(A96=$B$10,SUM(D$20:D96),""))</f>
        <v/>
      </c>
      <c r="E97" s="39" t="str">
        <f>IF(AND(A96&lt;12,A96&lt;$B$10),C96*$B$12/12,IF(A96&lt;$B$10,C96*$B$13/12,IF(A96=$B$10,SUM(E$20:E96),"")))</f>
        <v/>
      </c>
      <c r="F97" s="39"/>
    </row>
    <row r="98" spans="1:6" x14ac:dyDescent="0.25">
      <c r="A98" t="str">
        <f t="shared" si="4"/>
        <v/>
      </c>
      <c r="B98" s="38" t="str">
        <f t="shared" si="3"/>
        <v/>
      </c>
      <c r="C98" s="39" t="str">
        <f t="shared" si="5"/>
        <v/>
      </c>
      <c r="D98" s="39" t="str">
        <f>IF(A97&lt;$B$10,$C$10/$B$10,IF(A97=$B$10,SUM(D$20:D97),""))</f>
        <v/>
      </c>
      <c r="E98" s="39" t="str">
        <f>IF(AND(A97&lt;12,A97&lt;$B$10),C97*$B$12/12,IF(A97&lt;$B$10,C97*$B$13/12,IF(A97=$B$10,SUM(E$20:E97),"")))</f>
        <v/>
      </c>
      <c r="F98" s="39"/>
    </row>
    <row r="99" spans="1:6" x14ac:dyDescent="0.25">
      <c r="A99" t="str">
        <f t="shared" si="4"/>
        <v/>
      </c>
      <c r="B99" s="38" t="str">
        <f t="shared" si="3"/>
        <v/>
      </c>
      <c r="C99" s="39" t="str">
        <f t="shared" si="5"/>
        <v/>
      </c>
      <c r="D99" s="39" t="str">
        <f>IF(A98&lt;$B$10,$C$10/$B$10,IF(A98=$B$10,SUM(D$20:D98),""))</f>
        <v/>
      </c>
      <c r="E99" s="39" t="str">
        <f>IF(AND(A98&lt;12,A98&lt;$B$10),C98*$B$12/12,IF(A98&lt;$B$10,C98*$B$13/12,IF(A98=$B$10,SUM(E$20:E98),"")))</f>
        <v/>
      </c>
      <c r="F99" s="39"/>
    </row>
    <row r="100" spans="1:6" x14ac:dyDescent="0.25">
      <c r="A100" t="str">
        <f t="shared" si="4"/>
        <v/>
      </c>
      <c r="B100" s="38" t="str">
        <f t="shared" si="3"/>
        <v/>
      </c>
      <c r="C100" s="39" t="str">
        <f t="shared" si="5"/>
        <v/>
      </c>
      <c r="D100" s="39" t="str">
        <f>IF(A99&lt;$B$10,$C$10/$B$10,IF(A99=$B$10,SUM(D$20:D99),""))</f>
        <v/>
      </c>
      <c r="E100" s="39" t="str">
        <f>IF(AND(A99&lt;12,A99&lt;$B$10),C99*$B$12/12,IF(A99&lt;$B$10,C99*$B$13/12,IF(A99=$B$10,SUM(E$20:E99),"")))</f>
        <v/>
      </c>
      <c r="F100" s="39"/>
    </row>
    <row r="101" spans="1:6" x14ac:dyDescent="0.25">
      <c r="A101" t="str">
        <f t="shared" si="4"/>
        <v/>
      </c>
      <c r="B101" s="38" t="str">
        <f t="shared" si="3"/>
        <v/>
      </c>
      <c r="C101" s="39" t="str">
        <f t="shared" si="5"/>
        <v/>
      </c>
      <c r="D101" s="39" t="str">
        <f>IF(A100&lt;$B$10,$C$10/$B$10,IF(A100=$B$10,SUM(D$20:D100),""))</f>
        <v/>
      </c>
      <c r="E101" s="39" t="str">
        <f>IF(AND(A100&lt;12,A100&lt;$B$10),C100*$B$12/12,IF(A100&lt;$B$10,C100*$B$13/12,IF(A100=$B$10,SUM(E$20:E100),"")))</f>
        <v/>
      </c>
      <c r="F101" s="39"/>
    </row>
    <row r="102" spans="1:6" x14ac:dyDescent="0.25">
      <c r="A102" t="str">
        <f t="shared" si="4"/>
        <v/>
      </c>
      <c r="B102" s="38" t="str">
        <f t="shared" si="3"/>
        <v/>
      </c>
      <c r="C102" s="39" t="str">
        <f t="shared" si="5"/>
        <v/>
      </c>
      <c r="D102" s="39" t="str">
        <f>IF(A101&lt;$B$10,$C$10/$B$10,IF(A101=$B$10,SUM(D$20:D101),""))</f>
        <v/>
      </c>
      <c r="E102" s="39" t="str">
        <f>IF(AND(A101&lt;12,A101&lt;$B$10),C101*$B$12/12,IF(A101&lt;$B$10,C101*$B$13/12,IF(A101=$B$10,SUM(E$20:E101),"")))</f>
        <v/>
      </c>
      <c r="F102" s="39"/>
    </row>
    <row r="103" spans="1:6" x14ac:dyDescent="0.25">
      <c r="A103" t="str">
        <f t="shared" si="4"/>
        <v/>
      </c>
      <c r="B103" s="38" t="str">
        <f t="shared" si="3"/>
        <v/>
      </c>
      <c r="C103" s="39" t="str">
        <f t="shared" si="5"/>
        <v/>
      </c>
      <c r="D103" s="39" t="str">
        <f>IF(A102&lt;$B$10,$C$10/$B$10,IF(A102=$B$10,SUM(D$20:D102),""))</f>
        <v/>
      </c>
      <c r="E103" s="39" t="str">
        <f>IF(AND(A102&lt;12,A102&lt;$B$10),C102*$B$12/12,IF(A102&lt;$B$10,C102*$B$13/12,IF(A102=$B$10,SUM(E$20:E102),"")))</f>
        <v/>
      </c>
      <c r="F103" s="39"/>
    </row>
    <row r="104" spans="1:6" x14ac:dyDescent="0.25">
      <c r="A104" t="str">
        <f t="shared" si="4"/>
        <v/>
      </c>
      <c r="B104" s="38" t="str">
        <f t="shared" si="3"/>
        <v/>
      </c>
      <c r="C104" s="39" t="str">
        <f t="shared" si="5"/>
        <v/>
      </c>
      <c r="D104" s="39" t="str">
        <f>IF(A103&lt;$B$10,$C$10/$B$10,IF(A103=$B$10,SUM(D$20:D103),""))</f>
        <v/>
      </c>
      <c r="E104" s="39" t="str">
        <f>IF(AND(A103&lt;12,A103&lt;$B$10),C103*$B$12/12,IF(A103&lt;$B$10,C103*$B$13/12,IF(A103=$B$10,SUM(E$20:E103),"")))</f>
        <v/>
      </c>
      <c r="F104" s="39"/>
    </row>
    <row r="106" spans="1:6" x14ac:dyDescent="0.25">
      <c r="B106" s="50" t="s">
        <v>30</v>
      </c>
      <c r="C106" s="50"/>
    </row>
  </sheetData>
  <mergeCells count="3">
    <mergeCell ref="E7:F7"/>
    <mergeCell ref="C11:C13"/>
    <mergeCell ref="B106:C106"/>
  </mergeCells>
  <conditionalFormatting sqref="A19:F104">
    <cfRule type="expression" dxfId="1" priority="1">
      <formula>$A19&lt;=$B$10</formula>
    </cfRule>
    <cfRule type="expression" dxfId="0" priority="2">
      <formula>$A18=$B$10</formula>
    </cfRule>
  </conditionalFormatting>
  <dataValidations count="2">
    <dataValidation type="list" allowBlank="1" showInputMessage="1" showErrorMessage="1" sqref="B8" xr:uid="{21128230-AD59-4B01-948F-4928027AF2F9}">
      <formula1>"30%,40%,50%,60%,70%,80%,90%,100%"</formula1>
    </dataValidation>
    <dataValidation type="list" allowBlank="1" showInputMessage="1" showErrorMessage="1" sqref="B10" xr:uid="{B631A3DA-9206-476E-99BF-7F7F18140F27}">
      <formula1>"12,24,36,48,60,72,84"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A6EA-8211-4E32-904C-E1B7EBFCE882}">
  <dimension ref="A1:V51"/>
  <sheetViews>
    <sheetView topLeftCell="E1" zoomScaleNormal="100" workbookViewId="0">
      <selection sqref="A1:L51"/>
    </sheetView>
  </sheetViews>
  <sheetFormatPr defaultRowHeight="13.8" x14ac:dyDescent="0.25"/>
  <cols>
    <col min="1" max="1" width="15.59765625" customWidth="1"/>
    <col min="2" max="2" width="21.8984375" customWidth="1"/>
    <col min="3" max="3" width="16.3984375" customWidth="1"/>
    <col min="4" max="4" width="15.59765625" customWidth="1"/>
    <col min="5" max="5" width="17.8984375" customWidth="1"/>
    <col min="6" max="6" width="15.59765625" customWidth="1"/>
    <col min="7" max="7" width="33.69921875" customWidth="1"/>
    <col min="8" max="9" width="15.59765625" customWidth="1"/>
    <col min="10" max="10" width="18.796875" customWidth="1"/>
    <col min="11" max="11" width="11" customWidth="1"/>
    <col min="12" max="12" width="11.59765625" customWidth="1"/>
  </cols>
  <sheetData>
    <row r="1" spans="1:15" x14ac:dyDescent="0.25">
      <c r="A1" s="40" t="s">
        <v>35</v>
      </c>
      <c r="B1" s="40" t="s">
        <v>36</v>
      </c>
      <c r="C1" s="40" t="s">
        <v>37</v>
      </c>
      <c r="D1" s="40" t="s">
        <v>187</v>
      </c>
      <c r="E1" s="40" t="s">
        <v>32</v>
      </c>
      <c r="F1" s="40" t="s">
        <v>38</v>
      </c>
      <c r="G1" s="40" t="s">
        <v>186</v>
      </c>
      <c r="H1" s="40" t="s">
        <v>31</v>
      </c>
      <c r="I1" s="40" t="s">
        <v>178</v>
      </c>
      <c r="J1" s="40" t="s">
        <v>179</v>
      </c>
      <c r="K1" s="40" t="s">
        <v>177</v>
      </c>
      <c r="L1" s="40" t="s">
        <v>180</v>
      </c>
      <c r="N1" s="21" t="s">
        <v>38</v>
      </c>
      <c r="O1" s="21" t="s">
        <v>181</v>
      </c>
    </row>
    <row r="2" spans="1:15" x14ac:dyDescent="0.25">
      <c r="A2" s="41" t="str">
        <f>_xlfn.CONCAT("cid",678000+ROW()-1)</f>
        <v>cid678001</v>
      </c>
      <c r="B2" s="40" t="s">
        <v>41</v>
      </c>
      <c r="C2" s="40" t="s">
        <v>68</v>
      </c>
      <c r="D2" s="40"/>
      <c r="E2" s="43">
        <v>38028</v>
      </c>
      <c r="F2" s="43" t="s">
        <v>39</v>
      </c>
      <c r="G2" s="40"/>
      <c r="H2" s="40"/>
      <c r="I2" s="40"/>
      <c r="J2" s="42" t="s">
        <v>34</v>
      </c>
      <c r="K2" s="42"/>
      <c r="L2" s="40">
        <f ca="1">INT((TODAY()-Table3[[#This Row],[Birthdate]])/365)</f>
        <v>21</v>
      </c>
      <c r="N2" s="9" t="s">
        <v>182</v>
      </c>
      <c r="O2" s="9">
        <f>COUNTIF(Table3[Sex],LEFT(N2,1))</f>
        <v>32</v>
      </c>
    </row>
    <row r="3" spans="1:15" x14ac:dyDescent="0.25">
      <c r="A3" s="41" t="str">
        <f t="shared" ref="A3:A51" si="0">_xlfn.CONCAT("cid",678000+ROW()-1)</f>
        <v>cid678002</v>
      </c>
      <c r="B3" s="40" t="s">
        <v>42</v>
      </c>
      <c r="C3" s="40" t="s">
        <v>69</v>
      </c>
      <c r="D3" s="40"/>
      <c r="E3" s="43">
        <v>36468</v>
      </c>
      <c r="F3" s="43" t="s">
        <v>39</v>
      </c>
      <c r="G3" s="40"/>
      <c r="H3" s="40"/>
      <c r="I3" s="40"/>
      <c r="J3" s="42" t="s">
        <v>141</v>
      </c>
      <c r="K3" s="42"/>
      <c r="L3" s="40">
        <f ca="1">INT((TODAY()-Table3[[#This Row],[Birthdate]])/365)</f>
        <v>25</v>
      </c>
      <c r="N3" s="9" t="s">
        <v>183</v>
      </c>
      <c r="O3" s="9">
        <f>COUNTIF(Table3[Sex],LEFT(N3,1))</f>
        <v>18</v>
      </c>
    </row>
    <row r="4" spans="1:15" x14ac:dyDescent="0.25">
      <c r="A4" s="41" t="str">
        <f t="shared" si="0"/>
        <v>cid678003</v>
      </c>
      <c r="B4" s="40" t="s">
        <v>43</v>
      </c>
      <c r="C4" s="40" t="s">
        <v>70</v>
      </c>
      <c r="D4" s="40"/>
      <c r="E4" s="43">
        <v>37861</v>
      </c>
      <c r="F4" s="43" t="s">
        <v>39</v>
      </c>
      <c r="G4" s="40"/>
      <c r="H4" s="40"/>
      <c r="I4" s="40"/>
      <c r="J4" s="42" t="s">
        <v>142</v>
      </c>
      <c r="K4" s="42"/>
      <c r="L4" s="40">
        <f ca="1">INT((TODAY()-Table3[[#This Row],[Birthdate]])/365)</f>
        <v>22</v>
      </c>
    </row>
    <row r="5" spans="1:15" x14ac:dyDescent="0.25">
      <c r="A5" s="41" t="str">
        <f t="shared" si="0"/>
        <v>cid678004</v>
      </c>
      <c r="B5" s="40" t="s">
        <v>44</v>
      </c>
      <c r="C5" s="40" t="s">
        <v>71</v>
      </c>
      <c r="D5" s="40"/>
      <c r="E5" s="43">
        <v>37565</v>
      </c>
      <c r="F5" s="43" t="s">
        <v>40</v>
      </c>
      <c r="G5" s="40"/>
      <c r="H5" s="40"/>
      <c r="I5" s="40"/>
      <c r="J5" s="42" t="s">
        <v>143</v>
      </c>
      <c r="K5" s="42"/>
      <c r="L5" s="40">
        <f ca="1">INT((TODAY()-Table3[[#This Row],[Birthdate]])/365)</f>
        <v>22</v>
      </c>
    </row>
    <row r="6" spans="1:15" x14ac:dyDescent="0.25">
      <c r="A6" s="41" t="str">
        <f t="shared" si="0"/>
        <v>cid678005</v>
      </c>
      <c r="B6" s="40" t="s">
        <v>45</v>
      </c>
      <c r="C6" s="40" t="s">
        <v>72</v>
      </c>
      <c r="D6" s="40"/>
      <c r="E6" s="43">
        <v>37616</v>
      </c>
      <c r="F6" s="43" t="s">
        <v>40</v>
      </c>
      <c r="G6" s="40"/>
      <c r="H6" s="40"/>
      <c r="I6" s="40"/>
      <c r="J6" s="42" t="s">
        <v>144</v>
      </c>
      <c r="K6" s="42"/>
      <c r="L6" s="40">
        <f ca="1">INT((TODAY()-Table3[[#This Row],[Birthdate]])/365)</f>
        <v>22</v>
      </c>
      <c r="N6" s="44" t="s">
        <v>184</v>
      </c>
      <c r="O6" s="44" t="s">
        <v>181</v>
      </c>
    </row>
    <row r="7" spans="1:15" x14ac:dyDescent="0.25">
      <c r="A7" s="41" t="str">
        <f t="shared" si="0"/>
        <v>cid678006</v>
      </c>
      <c r="B7" s="40" t="s">
        <v>46</v>
      </c>
      <c r="C7" s="40" t="s">
        <v>73</v>
      </c>
      <c r="D7" s="40"/>
      <c r="E7" s="43">
        <v>37597</v>
      </c>
      <c r="F7" s="43" t="s">
        <v>40</v>
      </c>
      <c r="G7" s="40"/>
      <c r="H7" s="40"/>
      <c r="I7" s="40"/>
      <c r="J7" s="42" t="s">
        <v>145</v>
      </c>
      <c r="K7" s="42"/>
      <c r="L7" s="40">
        <f ca="1">INT((TODAY()-Table3[[#This Row],[Birthdate]])/365)</f>
        <v>22</v>
      </c>
      <c r="N7" s="9">
        <v>21</v>
      </c>
      <c r="O7" s="9">
        <f ca="1">COUNTIF(Table3[Current Age],N7)</f>
        <v>8</v>
      </c>
    </row>
    <row r="8" spans="1:15" x14ac:dyDescent="0.25">
      <c r="A8" s="41" t="str">
        <f t="shared" si="0"/>
        <v>cid678007</v>
      </c>
      <c r="B8" s="40" t="s">
        <v>47</v>
      </c>
      <c r="C8" s="40" t="s">
        <v>74</v>
      </c>
      <c r="D8" s="40"/>
      <c r="E8" s="43">
        <v>37920</v>
      </c>
      <c r="F8" s="43" t="s">
        <v>40</v>
      </c>
      <c r="G8" s="40"/>
      <c r="H8" s="40"/>
      <c r="I8" s="40"/>
      <c r="J8" s="42" t="s">
        <v>146</v>
      </c>
      <c r="K8" s="42"/>
      <c r="L8" s="40">
        <f ca="1">INT((TODAY()-Table3[[#This Row],[Birthdate]])/365)</f>
        <v>21</v>
      </c>
      <c r="N8" s="9">
        <v>22</v>
      </c>
      <c r="O8" s="9">
        <f ca="1">COUNTIF(Table3[Current Age],N8)</f>
        <v>23</v>
      </c>
    </row>
    <row r="9" spans="1:15" x14ac:dyDescent="0.25">
      <c r="A9" s="41" t="str">
        <f t="shared" si="0"/>
        <v>cid678008</v>
      </c>
      <c r="B9" s="40" t="s">
        <v>48</v>
      </c>
      <c r="C9" s="40" t="s">
        <v>75</v>
      </c>
      <c r="D9" s="40"/>
      <c r="E9" s="43">
        <v>37271</v>
      </c>
      <c r="F9" s="43" t="s">
        <v>40</v>
      </c>
      <c r="G9" s="40"/>
      <c r="H9" s="40"/>
      <c r="I9" s="40"/>
      <c r="J9" s="42" t="s">
        <v>147</v>
      </c>
      <c r="K9" s="42"/>
      <c r="L9" s="40">
        <f ca="1">INT((TODAY()-Table3[[#This Row],[Birthdate]])/365)</f>
        <v>23</v>
      </c>
      <c r="N9" s="9">
        <v>23</v>
      </c>
      <c r="O9" s="9">
        <f ca="1">COUNTIF(Table3[Current Age],N9)</f>
        <v>13</v>
      </c>
    </row>
    <row r="10" spans="1:15" x14ac:dyDescent="0.25">
      <c r="A10" s="41" t="str">
        <f t="shared" si="0"/>
        <v>cid678009</v>
      </c>
      <c r="B10" s="40" t="s">
        <v>49</v>
      </c>
      <c r="C10" s="40" t="s">
        <v>76</v>
      </c>
      <c r="D10" s="40"/>
      <c r="E10" s="43">
        <v>37437</v>
      </c>
      <c r="F10" s="43" t="s">
        <v>39</v>
      </c>
      <c r="G10" s="40"/>
      <c r="H10" s="40"/>
      <c r="I10" s="40"/>
      <c r="J10" s="42" t="s">
        <v>33</v>
      </c>
      <c r="K10" s="42"/>
      <c r="L10" s="40">
        <f ca="1">INT((TODAY()-Table3[[#This Row],[Birthdate]])/365)</f>
        <v>23</v>
      </c>
      <c r="N10" s="9">
        <v>24</v>
      </c>
      <c r="O10" s="9">
        <f ca="1">COUNTIF(Table3[Current Age],N10)</f>
        <v>4</v>
      </c>
    </row>
    <row r="11" spans="1:15" x14ac:dyDescent="0.25">
      <c r="A11" s="41" t="str">
        <f t="shared" si="0"/>
        <v>cid678010</v>
      </c>
      <c r="B11" s="40" t="s">
        <v>50</v>
      </c>
      <c r="C11" s="40" t="s">
        <v>77</v>
      </c>
      <c r="D11" s="40"/>
      <c r="E11" s="43">
        <v>37784</v>
      </c>
      <c r="F11" s="43" t="s">
        <v>40</v>
      </c>
      <c r="G11" s="40"/>
      <c r="H11" s="40"/>
      <c r="I11" s="40"/>
      <c r="J11" s="42" t="s">
        <v>148</v>
      </c>
      <c r="K11" s="42"/>
      <c r="L11" s="40">
        <f ca="1">INT((TODAY()-Table3[[#This Row],[Birthdate]])/365)</f>
        <v>22</v>
      </c>
      <c r="N11" s="9">
        <v>25</v>
      </c>
      <c r="O11" s="9">
        <f ca="1">COUNTIF(Table3[Current Age],N11)</f>
        <v>2</v>
      </c>
    </row>
    <row r="12" spans="1:15" x14ac:dyDescent="0.25">
      <c r="A12" s="41" t="str">
        <f t="shared" si="0"/>
        <v>cid678011</v>
      </c>
      <c r="B12" s="40" t="s">
        <v>51</v>
      </c>
      <c r="C12" s="40" t="s">
        <v>78</v>
      </c>
      <c r="D12" s="40"/>
      <c r="E12" s="43">
        <v>37667</v>
      </c>
      <c r="F12" s="43" t="s">
        <v>40</v>
      </c>
      <c r="G12" s="40"/>
      <c r="H12" s="40"/>
      <c r="I12" s="40"/>
      <c r="J12" s="42" t="s">
        <v>149</v>
      </c>
      <c r="K12" s="42"/>
      <c r="L12" s="40">
        <f ca="1">INT((TODAY()-Table3[[#This Row],[Birthdate]])/365)</f>
        <v>22</v>
      </c>
    </row>
    <row r="13" spans="1:15" x14ac:dyDescent="0.25">
      <c r="A13" s="41" t="str">
        <f t="shared" si="0"/>
        <v>cid678012</v>
      </c>
      <c r="B13" s="40" t="s">
        <v>52</v>
      </c>
      <c r="C13" s="40" t="s">
        <v>79</v>
      </c>
      <c r="D13" s="40"/>
      <c r="E13" s="43">
        <v>37353</v>
      </c>
      <c r="F13" s="43" t="s">
        <v>39</v>
      </c>
      <c r="G13" s="40"/>
      <c r="H13" s="40"/>
      <c r="I13" s="40"/>
      <c r="J13" s="42" t="s">
        <v>150</v>
      </c>
      <c r="K13" s="42"/>
      <c r="L13" s="40">
        <f ca="1">INT((TODAY()-Table3[[#This Row],[Birthdate]])/365)</f>
        <v>23</v>
      </c>
    </row>
    <row r="14" spans="1:15" x14ac:dyDescent="0.25">
      <c r="A14" s="41" t="str">
        <f t="shared" si="0"/>
        <v>cid678013</v>
      </c>
      <c r="B14" s="40" t="s">
        <v>53</v>
      </c>
      <c r="C14" s="40" t="s">
        <v>80</v>
      </c>
      <c r="D14" s="40"/>
      <c r="E14" s="43">
        <v>37957</v>
      </c>
      <c r="F14" s="43" t="s">
        <v>40</v>
      </c>
      <c r="G14" s="40"/>
      <c r="H14" s="40"/>
      <c r="I14" s="40"/>
      <c r="J14" s="42" t="s">
        <v>151</v>
      </c>
      <c r="K14" s="42"/>
      <c r="L14" s="40">
        <f ca="1">INT((TODAY()-Table3[[#This Row],[Birthdate]])/365)</f>
        <v>21</v>
      </c>
    </row>
    <row r="15" spans="1:15" x14ac:dyDescent="0.25">
      <c r="A15" s="41" t="str">
        <f t="shared" si="0"/>
        <v>cid678014</v>
      </c>
      <c r="B15" s="40" t="s">
        <v>54</v>
      </c>
      <c r="C15" s="40" t="s">
        <v>81</v>
      </c>
      <c r="D15" s="40"/>
      <c r="E15" s="43">
        <v>37353</v>
      </c>
      <c r="F15" s="43" t="s">
        <v>40</v>
      </c>
      <c r="G15" s="40"/>
      <c r="H15" s="40"/>
      <c r="I15" s="40"/>
      <c r="J15" s="42" t="s">
        <v>152</v>
      </c>
      <c r="K15" s="42"/>
      <c r="L15" s="40">
        <f ca="1">INT((TODAY()-Table3[[#This Row],[Birthdate]])/365)</f>
        <v>23</v>
      </c>
    </row>
    <row r="16" spans="1:15" x14ac:dyDescent="0.25">
      <c r="A16" s="41" t="str">
        <f t="shared" si="0"/>
        <v>cid678015</v>
      </c>
      <c r="B16" s="40" t="s">
        <v>55</v>
      </c>
      <c r="C16" s="40" t="s">
        <v>82</v>
      </c>
      <c r="D16" s="40"/>
      <c r="E16" s="43">
        <v>37769</v>
      </c>
      <c r="F16" s="43" t="s">
        <v>40</v>
      </c>
      <c r="G16" s="40"/>
      <c r="H16" s="40"/>
      <c r="I16" s="40"/>
      <c r="J16" s="42" t="s">
        <v>153</v>
      </c>
      <c r="K16" s="42"/>
      <c r="L16" s="40">
        <f ca="1">INT((TODAY()-Table3[[#This Row],[Birthdate]])/365)</f>
        <v>22</v>
      </c>
    </row>
    <row r="17" spans="1:22" x14ac:dyDescent="0.25">
      <c r="A17" s="41" t="str">
        <f t="shared" si="0"/>
        <v>cid678016</v>
      </c>
      <c r="B17" s="40" t="s">
        <v>56</v>
      </c>
      <c r="C17" s="40" t="s">
        <v>83</v>
      </c>
      <c r="D17" s="40"/>
      <c r="E17" s="43">
        <v>37119</v>
      </c>
      <c r="F17" s="43" t="s">
        <v>40</v>
      </c>
      <c r="G17" s="40"/>
      <c r="H17" s="40"/>
      <c r="I17" s="40"/>
      <c r="J17" s="42" t="s">
        <v>154</v>
      </c>
      <c r="K17" s="42"/>
      <c r="L17" s="40">
        <f ca="1">INT((TODAY()-Table3[[#This Row],[Birthdate]])/365)</f>
        <v>24</v>
      </c>
    </row>
    <row r="18" spans="1:22" x14ac:dyDescent="0.25">
      <c r="A18" s="41" t="str">
        <f t="shared" si="0"/>
        <v>cid678017</v>
      </c>
      <c r="B18" s="40" t="s">
        <v>57</v>
      </c>
      <c r="C18" s="40" t="s">
        <v>84</v>
      </c>
      <c r="D18" s="40"/>
      <c r="E18" s="43">
        <v>37485</v>
      </c>
      <c r="F18" s="43" t="s">
        <v>40</v>
      </c>
      <c r="G18" s="40"/>
      <c r="H18" s="40"/>
      <c r="I18" s="40"/>
      <c r="J18" s="42" t="s">
        <v>155</v>
      </c>
      <c r="K18" s="42"/>
      <c r="L18" s="40">
        <f ca="1">INT((TODAY()-Table3[[#This Row],[Birthdate]])/365)</f>
        <v>23</v>
      </c>
    </row>
    <row r="19" spans="1:22" x14ac:dyDescent="0.25">
      <c r="A19" s="41" t="str">
        <f t="shared" si="0"/>
        <v>cid678018</v>
      </c>
      <c r="B19" s="40" t="s">
        <v>58</v>
      </c>
      <c r="C19" s="40" t="s">
        <v>85</v>
      </c>
      <c r="D19" s="40"/>
      <c r="E19" s="43">
        <v>37811</v>
      </c>
      <c r="F19" s="43" t="s">
        <v>40</v>
      </c>
      <c r="G19" s="40"/>
      <c r="H19" s="40"/>
      <c r="I19" s="40"/>
      <c r="J19" s="42" t="s">
        <v>143</v>
      </c>
      <c r="K19" s="42"/>
      <c r="L19" s="40">
        <f ca="1">INT((TODAY()-Table3[[#This Row],[Birthdate]])/365)</f>
        <v>22</v>
      </c>
    </row>
    <row r="20" spans="1:22" x14ac:dyDescent="0.25">
      <c r="A20" s="41" t="str">
        <f t="shared" si="0"/>
        <v>cid678019</v>
      </c>
      <c r="B20" s="40" t="s">
        <v>59</v>
      </c>
      <c r="C20" s="40" t="s">
        <v>86</v>
      </c>
      <c r="D20" s="40"/>
      <c r="E20" s="43">
        <v>37737</v>
      </c>
      <c r="F20" s="43" t="s">
        <v>40</v>
      </c>
      <c r="G20" s="40"/>
      <c r="H20" s="40"/>
      <c r="I20" s="40"/>
      <c r="J20" s="42" t="s">
        <v>156</v>
      </c>
      <c r="K20" s="42"/>
      <c r="L20" s="40">
        <f ca="1">INT((TODAY()-Table3[[#This Row],[Birthdate]])/365)</f>
        <v>22</v>
      </c>
    </row>
    <row r="21" spans="1:22" x14ac:dyDescent="0.25">
      <c r="A21" s="41" t="str">
        <f t="shared" si="0"/>
        <v>cid678020</v>
      </c>
      <c r="B21" s="40" t="s">
        <v>60</v>
      </c>
      <c r="C21" s="40" t="s">
        <v>87</v>
      </c>
      <c r="D21" s="40"/>
      <c r="E21" s="43">
        <v>37641</v>
      </c>
      <c r="F21" s="43" t="s">
        <v>40</v>
      </c>
      <c r="G21" s="40"/>
      <c r="H21" s="40"/>
      <c r="I21" s="40"/>
      <c r="J21" s="42" t="s">
        <v>157</v>
      </c>
      <c r="K21" s="42"/>
      <c r="L21" s="40">
        <f ca="1">INT((TODAY()-Table3[[#This Row],[Birthdate]])/365)</f>
        <v>22</v>
      </c>
    </row>
    <row r="22" spans="1:22" x14ac:dyDescent="0.25">
      <c r="A22" s="41" t="str">
        <f t="shared" si="0"/>
        <v>cid678021</v>
      </c>
      <c r="B22" s="40" t="s">
        <v>61</v>
      </c>
      <c r="C22" s="40" t="s">
        <v>88</v>
      </c>
      <c r="D22" s="40"/>
      <c r="E22" s="43">
        <v>37446</v>
      </c>
      <c r="F22" s="43" t="s">
        <v>40</v>
      </c>
      <c r="G22" s="40"/>
      <c r="H22" s="40"/>
      <c r="I22" s="40"/>
      <c r="J22" s="42" t="s">
        <v>34</v>
      </c>
      <c r="K22" s="42"/>
      <c r="L22" s="40">
        <f ca="1">INT((TODAY()-Table3[[#This Row],[Birthdate]])/365)</f>
        <v>23</v>
      </c>
    </row>
    <row r="23" spans="1:22" x14ac:dyDescent="0.25">
      <c r="A23" s="41" t="str">
        <f t="shared" si="0"/>
        <v>cid678022</v>
      </c>
      <c r="B23" s="40" t="s">
        <v>62</v>
      </c>
      <c r="C23" s="40" t="s">
        <v>89</v>
      </c>
      <c r="D23" s="40"/>
      <c r="E23" s="43">
        <v>37327</v>
      </c>
      <c r="F23" s="43" t="s">
        <v>40</v>
      </c>
      <c r="G23" s="40"/>
      <c r="H23" s="40"/>
      <c r="I23" s="40"/>
      <c r="J23" s="42" t="s">
        <v>158</v>
      </c>
      <c r="K23" s="42"/>
      <c r="L23" s="40">
        <f ca="1">INT((TODAY()-Table3[[#This Row],[Birthdate]])/365)</f>
        <v>23</v>
      </c>
    </row>
    <row r="24" spans="1:22" x14ac:dyDescent="0.25">
      <c r="A24" s="41" t="str">
        <f t="shared" si="0"/>
        <v>cid678023</v>
      </c>
      <c r="B24" s="40" t="s">
        <v>63</v>
      </c>
      <c r="C24" s="40" t="s">
        <v>90</v>
      </c>
      <c r="D24" s="40"/>
      <c r="E24" s="43">
        <v>37914</v>
      </c>
      <c r="F24" s="43" t="s">
        <v>39</v>
      </c>
      <c r="G24" s="40"/>
      <c r="H24" s="40"/>
      <c r="I24" s="40"/>
      <c r="J24" s="42" t="s">
        <v>159</v>
      </c>
      <c r="K24" s="42"/>
      <c r="L24" s="40">
        <f ca="1">INT((TODAY()-Table3[[#This Row],[Birthdate]])/365)</f>
        <v>21</v>
      </c>
    </row>
    <row r="25" spans="1:22" x14ac:dyDescent="0.25">
      <c r="A25" s="41" t="str">
        <f t="shared" si="0"/>
        <v>cid678024</v>
      </c>
      <c r="B25" s="40" t="s">
        <v>64</v>
      </c>
      <c r="C25" s="40" t="s">
        <v>91</v>
      </c>
      <c r="D25" s="40"/>
      <c r="E25" s="43">
        <v>37707</v>
      </c>
      <c r="F25" s="43" t="s">
        <v>40</v>
      </c>
      <c r="G25" s="40"/>
      <c r="H25" s="40"/>
      <c r="I25" s="40"/>
      <c r="J25" s="42" t="s">
        <v>160</v>
      </c>
      <c r="K25" s="42"/>
      <c r="L25" s="40">
        <f ca="1">INT((TODAY()-Table3[[#This Row],[Birthdate]])/365)</f>
        <v>22</v>
      </c>
    </row>
    <row r="26" spans="1:22" x14ac:dyDescent="0.25">
      <c r="A26" s="41" t="str">
        <f t="shared" si="0"/>
        <v>cid678025</v>
      </c>
      <c r="B26" s="40" t="s">
        <v>65</v>
      </c>
      <c r="C26" s="40" t="s">
        <v>92</v>
      </c>
      <c r="D26" s="40"/>
      <c r="E26" s="43">
        <v>37768</v>
      </c>
      <c r="F26" s="43" t="s">
        <v>40</v>
      </c>
      <c r="G26" s="40"/>
      <c r="H26" s="40"/>
      <c r="I26" s="40"/>
      <c r="J26" s="42" t="s">
        <v>161</v>
      </c>
      <c r="K26" s="42"/>
      <c r="L26" s="40">
        <f ca="1">INT((TODAY()-Table3[[#This Row],[Birthdate]])/365)</f>
        <v>22</v>
      </c>
    </row>
    <row r="27" spans="1:22" x14ac:dyDescent="0.25">
      <c r="A27" s="41" t="str">
        <f t="shared" si="0"/>
        <v>cid678026</v>
      </c>
      <c r="B27" s="40" t="s">
        <v>66</v>
      </c>
      <c r="C27" s="40" t="s">
        <v>93</v>
      </c>
      <c r="D27" s="40"/>
      <c r="E27" s="43">
        <v>37935</v>
      </c>
      <c r="F27" s="43" t="s">
        <v>39</v>
      </c>
      <c r="G27" s="40"/>
      <c r="H27" s="40"/>
      <c r="I27" s="40"/>
      <c r="J27" s="42" t="s">
        <v>141</v>
      </c>
      <c r="K27" s="42"/>
      <c r="L27" s="40">
        <f ca="1">INT((TODAY()-Table3[[#This Row],[Birthdate]])/365)</f>
        <v>21</v>
      </c>
    </row>
    <row r="28" spans="1:22" x14ac:dyDescent="0.25">
      <c r="A28" s="41" t="str">
        <f t="shared" si="0"/>
        <v>cid678027</v>
      </c>
      <c r="B28" s="40" t="s">
        <v>67</v>
      </c>
      <c r="C28" s="40" t="s">
        <v>94</v>
      </c>
      <c r="D28" s="40"/>
      <c r="E28" s="43">
        <v>37838</v>
      </c>
      <c r="F28" s="43" t="s">
        <v>39</v>
      </c>
      <c r="G28" s="40"/>
      <c r="H28" s="40"/>
      <c r="I28" s="40"/>
      <c r="J28" s="42" t="s">
        <v>162</v>
      </c>
      <c r="K28" s="42"/>
      <c r="L28" s="40">
        <f ca="1">INT((TODAY()-Table3[[#This Row],[Birthdate]])/365)</f>
        <v>22</v>
      </c>
    </row>
    <row r="29" spans="1:22" x14ac:dyDescent="0.25">
      <c r="A29" s="41" t="str">
        <f t="shared" si="0"/>
        <v>cid678028</v>
      </c>
      <c r="B29" s="40" t="s">
        <v>95</v>
      </c>
      <c r="C29" s="40" t="s">
        <v>96</v>
      </c>
      <c r="D29" s="40"/>
      <c r="E29" s="43">
        <v>37453</v>
      </c>
      <c r="F29" s="43" t="s">
        <v>39</v>
      </c>
      <c r="G29" s="40"/>
      <c r="H29" s="40"/>
      <c r="I29" s="40"/>
      <c r="J29" s="42" t="s">
        <v>163</v>
      </c>
      <c r="K29" s="42"/>
      <c r="L29" s="40">
        <f ca="1">INT((TODAY()-Table3[[#This Row],[Birthdate]])/365)</f>
        <v>23</v>
      </c>
      <c r="O29" s="45"/>
      <c r="P29" s="45"/>
      <c r="Q29" s="45"/>
      <c r="R29" s="45"/>
      <c r="S29" s="45"/>
      <c r="V29" s="45"/>
    </row>
    <row r="30" spans="1:22" x14ac:dyDescent="0.25">
      <c r="A30" s="41" t="str">
        <f t="shared" si="0"/>
        <v>cid678029</v>
      </c>
      <c r="B30" s="40" t="s">
        <v>97</v>
      </c>
      <c r="C30" s="40" t="s">
        <v>98</v>
      </c>
      <c r="D30" s="40"/>
      <c r="E30" s="43">
        <v>37360</v>
      </c>
      <c r="F30" s="43" t="s">
        <v>39</v>
      </c>
      <c r="G30" s="40"/>
      <c r="H30" s="40"/>
      <c r="I30" s="40"/>
      <c r="J30" s="42" t="s">
        <v>164</v>
      </c>
      <c r="K30" s="42"/>
      <c r="L30" s="40">
        <f ca="1">INT((TODAY()-Table3[[#This Row],[Birthdate]])/365)</f>
        <v>23</v>
      </c>
    </row>
    <row r="31" spans="1:22" x14ac:dyDescent="0.25">
      <c r="A31" s="41" t="str">
        <f t="shared" si="0"/>
        <v>cid678030</v>
      </c>
      <c r="B31" s="40" t="s">
        <v>99</v>
      </c>
      <c r="C31" s="40" t="s">
        <v>100</v>
      </c>
      <c r="D31" s="40"/>
      <c r="E31" s="43">
        <v>37353</v>
      </c>
      <c r="F31" s="43" t="s">
        <v>40</v>
      </c>
      <c r="G31" s="40"/>
      <c r="H31" s="40"/>
      <c r="I31" s="40"/>
      <c r="J31" s="42" t="s">
        <v>165</v>
      </c>
      <c r="K31" s="42"/>
      <c r="L31" s="40">
        <f ca="1">INT((TODAY()-Table3[[#This Row],[Birthdate]])/365)</f>
        <v>23</v>
      </c>
    </row>
    <row r="32" spans="1:22" x14ac:dyDescent="0.25">
      <c r="A32" s="41" t="str">
        <f t="shared" si="0"/>
        <v>cid678031</v>
      </c>
      <c r="B32" s="40" t="s">
        <v>101</v>
      </c>
      <c r="C32" s="40" t="s">
        <v>102</v>
      </c>
      <c r="D32" s="40"/>
      <c r="E32" s="43">
        <v>37754</v>
      </c>
      <c r="F32" s="43" t="s">
        <v>40</v>
      </c>
      <c r="G32" s="40"/>
      <c r="H32" s="40"/>
      <c r="I32" s="40"/>
      <c r="J32" s="42" t="s">
        <v>166</v>
      </c>
      <c r="K32" s="42"/>
      <c r="L32" s="40">
        <f ca="1">INT((TODAY()-Table3[[#This Row],[Birthdate]])/365)</f>
        <v>22</v>
      </c>
    </row>
    <row r="33" spans="1:12" x14ac:dyDescent="0.25">
      <c r="A33" s="41" t="str">
        <f t="shared" si="0"/>
        <v>cid678032</v>
      </c>
      <c r="B33" s="40" t="s">
        <v>103</v>
      </c>
      <c r="C33" s="40" t="s">
        <v>104</v>
      </c>
      <c r="D33" s="40"/>
      <c r="E33" s="43">
        <v>37190</v>
      </c>
      <c r="F33" s="43" t="s">
        <v>39</v>
      </c>
      <c r="G33" s="40"/>
      <c r="H33" s="40"/>
      <c r="I33" s="40"/>
      <c r="J33" s="42" t="s">
        <v>144</v>
      </c>
      <c r="K33" s="42"/>
      <c r="L33" s="40">
        <f ca="1">INT((TODAY()-Table3[[#This Row],[Birthdate]])/365)</f>
        <v>23</v>
      </c>
    </row>
    <row r="34" spans="1:12" x14ac:dyDescent="0.25">
      <c r="A34" s="41" t="str">
        <f t="shared" si="0"/>
        <v>cid678033</v>
      </c>
      <c r="B34" s="40" t="s">
        <v>105</v>
      </c>
      <c r="C34" s="40" t="s">
        <v>106</v>
      </c>
      <c r="D34" s="40"/>
      <c r="E34" s="43">
        <v>37736</v>
      </c>
      <c r="F34" s="43" t="s">
        <v>40</v>
      </c>
      <c r="G34" s="40"/>
      <c r="H34" s="40"/>
      <c r="I34" s="40"/>
      <c r="J34" s="42" t="s">
        <v>167</v>
      </c>
      <c r="K34" s="42"/>
      <c r="L34" s="40">
        <f ca="1">INT((TODAY()-Table3[[#This Row],[Birthdate]])/365)</f>
        <v>22</v>
      </c>
    </row>
    <row r="35" spans="1:12" x14ac:dyDescent="0.25">
      <c r="A35" s="41" t="str">
        <f t="shared" si="0"/>
        <v>cid678034</v>
      </c>
      <c r="B35" s="40" t="s">
        <v>107</v>
      </c>
      <c r="C35" s="40" t="s">
        <v>108</v>
      </c>
      <c r="D35" s="40"/>
      <c r="E35" s="43">
        <v>37526</v>
      </c>
      <c r="F35" s="43" t="s">
        <v>39</v>
      </c>
      <c r="G35" s="40"/>
      <c r="H35" s="40"/>
      <c r="I35" s="40"/>
      <c r="J35" s="42" t="s">
        <v>168</v>
      </c>
      <c r="K35" s="42"/>
      <c r="L35" s="40">
        <f ca="1">INT((TODAY()-Table3[[#This Row],[Birthdate]])/365)</f>
        <v>22</v>
      </c>
    </row>
    <row r="36" spans="1:12" x14ac:dyDescent="0.25">
      <c r="A36" s="41" t="str">
        <f t="shared" si="0"/>
        <v>cid678035</v>
      </c>
      <c r="B36" s="40" t="s">
        <v>109</v>
      </c>
      <c r="C36" s="40" t="s">
        <v>110</v>
      </c>
      <c r="D36" s="40"/>
      <c r="E36" s="43">
        <v>37036</v>
      </c>
      <c r="F36" s="43" t="s">
        <v>39</v>
      </c>
      <c r="G36" s="40"/>
      <c r="H36" s="40"/>
      <c r="I36" s="40"/>
      <c r="J36" s="42" t="s">
        <v>169</v>
      </c>
      <c r="K36" s="42"/>
      <c r="L36" s="40">
        <f ca="1">INT((TODAY()-Table3[[#This Row],[Birthdate]])/365)</f>
        <v>24</v>
      </c>
    </row>
    <row r="37" spans="1:12" x14ac:dyDescent="0.25">
      <c r="A37" s="41" t="str">
        <f t="shared" si="0"/>
        <v>cid678036</v>
      </c>
      <c r="B37" s="40" t="s">
        <v>111</v>
      </c>
      <c r="C37" s="40" t="s">
        <v>112</v>
      </c>
      <c r="D37" s="40"/>
      <c r="E37" s="43">
        <v>37791</v>
      </c>
      <c r="F37" s="43" t="s">
        <v>39</v>
      </c>
      <c r="G37" s="40"/>
      <c r="H37" s="40"/>
      <c r="I37" s="40"/>
      <c r="J37" s="42" t="s">
        <v>146</v>
      </c>
      <c r="K37" s="42"/>
      <c r="L37" s="40">
        <f ca="1">INT((TODAY()-Table3[[#This Row],[Birthdate]])/365)</f>
        <v>22</v>
      </c>
    </row>
    <row r="38" spans="1:12" x14ac:dyDescent="0.25">
      <c r="A38" s="41" t="str">
        <f t="shared" si="0"/>
        <v>cid678037</v>
      </c>
      <c r="B38" s="40" t="s">
        <v>113</v>
      </c>
      <c r="C38" s="40" t="s">
        <v>114</v>
      </c>
      <c r="D38" s="40"/>
      <c r="E38" s="43">
        <v>36568</v>
      </c>
      <c r="F38" s="43" t="s">
        <v>40</v>
      </c>
      <c r="G38" s="40"/>
      <c r="H38" s="40"/>
      <c r="I38" s="40"/>
      <c r="J38" s="42" t="s">
        <v>170</v>
      </c>
      <c r="K38" s="42"/>
      <c r="L38" s="40">
        <f ca="1">INT((TODAY()-Table3[[#This Row],[Birthdate]])/365)</f>
        <v>25</v>
      </c>
    </row>
    <row r="39" spans="1:12" x14ac:dyDescent="0.25">
      <c r="A39" s="41" t="str">
        <f t="shared" si="0"/>
        <v>cid678038</v>
      </c>
      <c r="B39" s="40" t="s">
        <v>115</v>
      </c>
      <c r="C39" s="40" t="s">
        <v>116</v>
      </c>
      <c r="D39" s="40"/>
      <c r="E39" s="43">
        <v>37293</v>
      </c>
      <c r="F39" s="43" t="s">
        <v>40</v>
      </c>
      <c r="G39" s="40"/>
      <c r="H39" s="40"/>
      <c r="I39" s="40"/>
      <c r="J39" s="42" t="s">
        <v>171</v>
      </c>
      <c r="K39" s="42"/>
      <c r="L39" s="40">
        <f ca="1">INT((TODAY()-Table3[[#This Row],[Birthdate]])/365)</f>
        <v>23</v>
      </c>
    </row>
    <row r="40" spans="1:12" x14ac:dyDescent="0.25">
      <c r="A40" s="41" t="str">
        <f t="shared" si="0"/>
        <v>cid678039</v>
      </c>
      <c r="B40" s="40" t="s">
        <v>117</v>
      </c>
      <c r="C40" s="40" t="s">
        <v>118</v>
      </c>
      <c r="D40" s="40"/>
      <c r="E40" s="43">
        <v>36933</v>
      </c>
      <c r="F40" s="43" t="s">
        <v>40</v>
      </c>
      <c r="G40" s="40"/>
      <c r="H40" s="40"/>
      <c r="I40" s="40"/>
      <c r="J40" s="42" t="s">
        <v>143</v>
      </c>
      <c r="K40" s="42"/>
      <c r="L40" s="40">
        <f ca="1">INT((TODAY()-Table3[[#This Row],[Birthdate]])/365)</f>
        <v>24</v>
      </c>
    </row>
    <row r="41" spans="1:12" x14ac:dyDescent="0.25">
      <c r="A41" s="41" t="str">
        <f t="shared" si="0"/>
        <v>cid678040</v>
      </c>
      <c r="B41" s="40" t="s">
        <v>119</v>
      </c>
      <c r="C41" s="40" t="s">
        <v>120</v>
      </c>
      <c r="D41" s="40"/>
      <c r="E41" s="43">
        <v>37421</v>
      </c>
      <c r="F41" s="43" t="s">
        <v>40</v>
      </c>
      <c r="G41" s="40"/>
      <c r="H41" s="40"/>
      <c r="I41" s="40"/>
      <c r="J41" s="42" t="s">
        <v>33</v>
      </c>
      <c r="K41" s="42"/>
      <c r="L41" s="40">
        <f ca="1">INT((TODAY()-Table3[[#This Row],[Birthdate]])/365)</f>
        <v>23</v>
      </c>
    </row>
    <row r="42" spans="1:12" x14ac:dyDescent="0.25">
      <c r="A42" s="41" t="str">
        <f t="shared" si="0"/>
        <v>cid678041</v>
      </c>
      <c r="B42" s="40" t="s">
        <v>121</v>
      </c>
      <c r="C42" s="40" t="s">
        <v>122</v>
      </c>
      <c r="D42" s="40"/>
      <c r="E42" s="43">
        <v>37757</v>
      </c>
      <c r="F42" s="43" t="s">
        <v>40</v>
      </c>
      <c r="G42" s="40"/>
      <c r="H42" s="40"/>
      <c r="I42" s="40"/>
      <c r="J42" s="42" t="s">
        <v>172</v>
      </c>
      <c r="K42" s="42"/>
      <c r="L42" s="40">
        <f ca="1">INT((TODAY()-Table3[[#This Row],[Birthdate]])/365)</f>
        <v>22</v>
      </c>
    </row>
    <row r="43" spans="1:12" x14ac:dyDescent="0.25">
      <c r="A43" s="41" t="str">
        <f t="shared" si="0"/>
        <v>cid678042</v>
      </c>
      <c r="B43" s="40" t="s">
        <v>123</v>
      </c>
      <c r="C43" s="40" t="s">
        <v>124</v>
      </c>
      <c r="D43" s="40"/>
      <c r="E43" s="43">
        <v>37587</v>
      </c>
      <c r="F43" s="43" t="s">
        <v>39</v>
      </c>
      <c r="G43" s="40"/>
      <c r="H43" s="40"/>
      <c r="I43" s="40"/>
      <c r="J43" s="42" t="s">
        <v>173</v>
      </c>
      <c r="K43" s="42"/>
      <c r="L43" s="40">
        <f ca="1">INT((TODAY()-Table3[[#This Row],[Birthdate]])/365)</f>
        <v>22</v>
      </c>
    </row>
    <row r="44" spans="1:12" x14ac:dyDescent="0.25">
      <c r="A44" s="41" t="str">
        <f t="shared" si="0"/>
        <v>cid678043</v>
      </c>
      <c r="B44" s="40" t="s">
        <v>125</v>
      </c>
      <c r="C44" s="40" t="s">
        <v>126</v>
      </c>
      <c r="D44" s="40"/>
      <c r="E44" s="43">
        <v>37569</v>
      </c>
      <c r="F44" s="43" t="s">
        <v>39</v>
      </c>
      <c r="G44" s="40"/>
      <c r="H44" s="40"/>
      <c r="I44" s="40"/>
      <c r="J44" s="42" t="s">
        <v>141</v>
      </c>
      <c r="K44" s="42"/>
      <c r="L44" s="40">
        <f ca="1">INT((TODAY()-Table3[[#This Row],[Birthdate]])/365)</f>
        <v>22</v>
      </c>
    </row>
    <row r="45" spans="1:12" x14ac:dyDescent="0.25">
      <c r="A45" s="41" t="str">
        <f t="shared" si="0"/>
        <v>cid678044</v>
      </c>
      <c r="B45" s="40" t="s">
        <v>127</v>
      </c>
      <c r="C45" s="40" t="s">
        <v>128</v>
      </c>
      <c r="D45" s="40"/>
      <c r="E45" s="43">
        <v>38150</v>
      </c>
      <c r="F45" s="43" t="s">
        <v>40</v>
      </c>
      <c r="G45" s="40"/>
      <c r="H45" s="40"/>
      <c r="I45" s="40"/>
      <c r="J45" s="42" t="s">
        <v>174</v>
      </c>
      <c r="K45" s="42"/>
      <c r="L45" s="40">
        <f ca="1">INT((TODAY()-Table3[[#This Row],[Birthdate]])/365)</f>
        <v>21</v>
      </c>
    </row>
    <row r="46" spans="1:12" x14ac:dyDescent="0.25">
      <c r="A46" s="41" t="str">
        <f t="shared" si="0"/>
        <v>cid678045</v>
      </c>
      <c r="B46" s="40" t="s">
        <v>129</v>
      </c>
      <c r="C46" s="40" t="s">
        <v>130</v>
      </c>
      <c r="D46" s="40"/>
      <c r="E46" s="43">
        <v>37047</v>
      </c>
      <c r="F46" s="43" t="s">
        <v>39</v>
      </c>
      <c r="G46" s="40"/>
      <c r="H46" s="40"/>
      <c r="I46" s="40"/>
      <c r="J46" s="42" t="s">
        <v>142</v>
      </c>
      <c r="K46" s="42"/>
      <c r="L46" s="40">
        <f ca="1">INT((TODAY()-Table3[[#This Row],[Birthdate]])/365)</f>
        <v>24</v>
      </c>
    </row>
    <row r="47" spans="1:12" x14ac:dyDescent="0.25">
      <c r="A47" s="41" t="str">
        <f t="shared" si="0"/>
        <v>cid678046</v>
      </c>
      <c r="B47" s="40" t="s">
        <v>131</v>
      </c>
      <c r="C47" s="40" t="s">
        <v>132</v>
      </c>
      <c r="D47" s="40"/>
      <c r="E47" s="43">
        <v>37677</v>
      </c>
      <c r="F47" s="43" t="s">
        <v>40</v>
      </c>
      <c r="G47" s="40"/>
      <c r="H47" s="40"/>
      <c r="I47" s="40"/>
      <c r="J47" s="42" t="s">
        <v>175</v>
      </c>
      <c r="K47" s="42"/>
      <c r="L47" s="40">
        <f ca="1">INT((TODAY()-Table3[[#This Row],[Birthdate]])/365)</f>
        <v>22</v>
      </c>
    </row>
    <row r="48" spans="1:12" x14ac:dyDescent="0.25">
      <c r="A48" s="41" t="str">
        <f t="shared" si="0"/>
        <v>cid678047</v>
      </c>
      <c r="B48" s="40" t="s">
        <v>133</v>
      </c>
      <c r="C48" s="40" t="s">
        <v>134</v>
      </c>
      <c r="D48" s="40"/>
      <c r="E48" s="43">
        <v>37957</v>
      </c>
      <c r="F48" s="43" t="s">
        <v>40</v>
      </c>
      <c r="G48" s="40"/>
      <c r="H48" s="40"/>
      <c r="I48" s="40"/>
      <c r="J48" s="42" t="s">
        <v>34</v>
      </c>
      <c r="K48" s="42"/>
      <c r="L48" s="40">
        <f ca="1">INT((TODAY()-Table3[[#This Row],[Birthdate]])/365)</f>
        <v>21</v>
      </c>
    </row>
    <row r="49" spans="1:12" x14ac:dyDescent="0.25">
      <c r="A49" s="41" t="str">
        <f t="shared" si="0"/>
        <v>cid678048</v>
      </c>
      <c r="B49" s="40" t="s">
        <v>135</v>
      </c>
      <c r="C49" s="40" t="s">
        <v>136</v>
      </c>
      <c r="D49" s="40"/>
      <c r="E49" s="43">
        <v>38188</v>
      </c>
      <c r="F49" s="43" t="s">
        <v>40</v>
      </c>
      <c r="G49" s="40"/>
      <c r="H49" s="40"/>
      <c r="I49" s="40"/>
      <c r="J49" s="42" t="s">
        <v>176</v>
      </c>
      <c r="K49" s="42"/>
      <c r="L49" s="40">
        <f ca="1">INT((TODAY()-Table3[[#This Row],[Birthdate]])/365)</f>
        <v>21</v>
      </c>
    </row>
    <row r="50" spans="1:12" x14ac:dyDescent="0.25">
      <c r="A50" s="41" t="str">
        <f t="shared" si="0"/>
        <v>cid678049</v>
      </c>
      <c r="B50" s="40" t="s">
        <v>137</v>
      </c>
      <c r="C50" s="40" t="s">
        <v>138</v>
      </c>
      <c r="D50" s="40"/>
      <c r="E50" s="43">
        <v>37730</v>
      </c>
      <c r="F50" s="43" t="s">
        <v>40</v>
      </c>
      <c r="G50" s="40"/>
      <c r="H50" s="40"/>
      <c r="I50" s="40"/>
      <c r="J50" s="42" t="s">
        <v>147</v>
      </c>
      <c r="K50" s="42"/>
      <c r="L50" s="40">
        <f ca="1">INT((TODAY()-Table3[[#This Row],[Birthdate]])/365)</f>
        <v>22</v>
      </c>
    </row>
    <row r="51" spans="1:12" x14ac:dyDescent="0.25">
      <c r="A51" s="41" t="str">
        <f t="shared" si="0"/>
        <v>cid678050</v>
      </c>
      <c r="B51" s="40" t="s">
        <v>139</v>
      </c>
      <c r="C51" s="40" t="s">
        <v>140</v>
      </c>
      <c r="D51" s="40"/>
      <c r="E51" s="43">
        <v>37751</v>
      </c>
      <c r="F51" s="43" t="s">
        <v>39</v>
      </c>
      <c r="G51" s="40"/>
      <c r="H51" s="40"/>
      <c r="I51" s="40"/>
      <c r="J51" s="42" t="s">
        <v>154</v>
      </c>
      <c r="K51" s="42"/>
      <c r="L51" s="40">
        <f ca="1">INT((TODAY()-Table3[[#This Row],[Birthdate]])/365)</f>
        <v>22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2888-8CF8-44C8-8D0F-C4AD2AD54329}">
  <dimension ref="A1"/>
  <sheetViews>
    <sheetView workbookViewId="0">
      <selection sqref="A1:L48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Bank Deposits</vt:lpstr>
      <vt:lpstr>Installments</vt:lpstr>
      <vt:lpstr>Customers</vt:lpstr>
      <vt:lpstr>Archive</vt:lpstr>
      <vt:lpstr>Gender</vt:lpstr>
      <vt:lpstr>SUPPLIER_NAME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Tran Thai Hoc</dc:creator>
  <cp:lastModifiedBy>Ly Tran Thai Hoc</cp:lastModifiedBy>
  <dcterms:created xsi:type="dcterms:W3CDTF">2025-08-21T07:18:05Z</dcterms:created>
  <dcterms:modified xsi:type="dcterms:W3CDTF">2025-08-22T06:08:16Z</dcterms:modified>
</cp:coreProperties>
</file>