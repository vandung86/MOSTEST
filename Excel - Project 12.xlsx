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CI Documents\MOS\MOS_HOCICT\MOS 2019\MOS_BOOK_CONTENT\Projects\"/>
    </mc:Choice>
  </mc:AlternateContent>
  <xr:revisionPtr revIDLastSave="0" documentId="13_ncr:1_{5FB9277B-5DA8-4B3A-8BF5-3FCDB03C1C25}" xr6:coauthVersionLast="47" xr6:coauthVersionMax="47" xr10:uidLastSave="{00000000-0000-0000-0000-000000000000}"/>
  <bookViews>
    <workbookView xWindow="0" yWindow="0" windowWidth="23040" windowHeight="9240" activeTab="3" xr2:uid="{1E0D508C-9FEA-4F79-9D43-94F733B491A5}"/>
  </bookViews>
  <sheets>
    <sheet name="Informatics Exam" sheetId="1" r:id="rId1"/>
    <sheet name="Enrollment" sheetId="4" r:id="rId2"/>
    <sheet name="GMetrix Account" sheetId="3" r:id="rId3"/>
    <sheet name="International Exam" sheetId="5" r:id="rId4"/>
  </sheets>
  <definedNames>
    <definedName name="InformaticsQ1">Table46[Qtr1]</definedName>
    <definedName name="ThirdQuarter">Monthly_Statistical_Enrollment[[June]:[August]]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6" i="5" l="1"/>
  <c r="D16" i="5"/>
  <c r="C16" i="5"/>
  <c r="B16" i="5"/>
  <c r="E6" i="5"/>
  <c r="D6" i="5"/>
  <c r="C6" i="5"/>
  <c r="B6" i="5"/>
  <c r="M6" i="1" l="1"/>
  <c r="L6" i="1"/>
  <c r="K6" i="1"/>
  <c r="J6" i="1"/>
  <c r="I6" i="1"/>
  <c r="H6" i="1"/>
  <c r="G6" i="1"/>
  <c r="F6" i="1"/>
  <c r="E6" i="1"/>
  <c r="D6" i="1"/>
  <c r="C6" i="1"/>
  <c r="B6" i="1"/>
</calcChain>
</file>

<file path=xl/sharedStrings.xml><?xml version="1.0" encoding="utf-8"?>
<sst xmlns="http://schemas.openxmlformats.org/spreadsheetml/2006/main" count="65" uniqueCount="37">
  <si>
    <t>Exam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</si>
  <si>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</si>
  <si>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</si>
  <si>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</si>
  <si>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</si>
  <si>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</si>
  <si>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</si>
  <si>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</si>
  <si>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</si>
  <si>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</si>
  <si>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</si>
  <si>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</si>
  <si>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</si>
  <si>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IC3</t>
  </si>
  <si>
    <t>IELTS</t>
  </si>
  <si>
    <t>MOS</t>
  </si>
  <si>
    <t>ICDL</t>
  </si>
  <si>
    <t>Total</t>
  </si>
  <si>
    <t>Exams</t>
  </si>
  <si>
    <t>Monthly Average</t>
  </si>
  <si>
    <t>Test Site</t>
  </si>
  <si>
    <t>Binh Duong University</t>
  </si>
  <si>
    <t>Nguyen Tat Thanh University</t>
  </si>
  <si>
    <t>Ton Duc Thang University</t>
  </si>
  <si>
    <t>Van Hien University</t>
  </si>
  <si>
    <t>MOS EXAM - ENROLLMENT</t>
  </si>
  <si>
    <t>International University</t>
  </si>
  <si>
    <t>Informatics Exam</t>
  </si>
  <si>
    <t>Qtr1</t>
  </si>
  <si>
    <t>Qtr2</t>
  </si>
  <si>
    <t>Qtr3</t>
  </si>
  <si>
    <t>Qtr4</t>
  </si>
  <si>
    <t>TOEIC</t>
  </si>
  <si>
    <t>TOEFL</t>
  </si>
  <si>
    <t>Foreign Language Exam</t>
  </si>
  <si>
    <t>Foreign language Exam</t>
  </si>
  <si>
    <t>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</si>
</sst>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8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rgb="FF0061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6"/>
        <bgColor theme="6"/>
      </patternFill>
    </fill>
  </fills>
  <borders count="8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6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4" fillId="0" borderId="7" applyNumberFormat="0" applyFill="0" applyAlignment="0" applyProtection="0"/>
  </cellStyleXfs>
  <cellXfs count="17">
    <xf numFmtId="0" fontId="0" fillId="0" borderId="0" xfId="0"/>
    <xf numFmtId="0" fontId="3" fillId="3" borderId="0" xfId="0" applyFont="1" applyFill="1"/>
    <xf numFmtId="0" fontId="0" fillId="0" borderId="2" xfId="0" applyBorder="1"/>
    <xf numFmtId="0" fontId="3" fillId="0" borderId="4" xfId="0" applyFont="1" applyBorder="1"/>
    <xf numFmtId="0" fontId="4" fillId="0" borderId="4" xfId="0" applyFont="1" applyBorder="1"/>
    <xf numFmtId="0" fontId="0" fillId="0" borderId="5" xfId="0" applyBorder="1"/>
    <xf numFmtId="0" fontId="0" fillId="0" borderId="3" xfId="0" applyBorder="1"/>
    <xf numFmtId="0" fontId="0" fillId="0" borderId="6" xfId="0" applyBorder="1"/>
    <xf numFmtId="0" fontId="3" fillId="0" borderId="0" xfId="0" applyFont="1"/>
    <xf numFmtId="44" fontId="0" fillId="0" borderId="0" xfId="0" applyNumberFormat="1"/>
    <xf numFmtId="0" fontId="0" fillId="0" borderId="0" xfId="0" applyAlignment="1">
      <alignment vertical="center"/>
    </xf>
    <xf numFmtId="0" fontId="6" fillId="0" borderId="0" xfId="0" applyFont="1"/>
    <xf numFmtId="0" fontId="5" fillId="2" borderId="0" xfId="2" applyFont="1" applyAlignment="1"/>
    <xf numFmtId="0" fontId="4" fillId="0" borderId="7" xfId="3"/>
    <xf numFmtId="0" fontId="7" fillId="0" borderId="3" xfId="0" applyFont="1" applyBorder="1"/>
    <xf numFmtId="0" fontId="7" fillId="0" borderId="6" xfId="0" applyFont="1" applyBorder="1"/>
    <xf numFmtId="0" fontId="1" fillId="0" borderId="0" xfId="1" applyBorder="1"/>
  </cellXfs>
  <cellStyles count="4">
    <cellStyle name="Good" xfId="2" builtinId="26"/>
    <cellStyle name="Heading 2" xfId="1" builtinId="17"/>
    <cellStyle name="Normal" xfId="0" builtinId="0"/>
    <cellStyle name="Total" xfId="3" builtinId="25"/>
  </cellStyles>
  <dxfs count="52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alignment horizontal="general" vertical="center" textRotation="0" wrapText="0" indent="0" justifyLastLine="0" shrinkToFit="0" readingOrder="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border outline="0">
        <left style="thin">
          <color theme="6" tint="0.39997558519241921"/>
        </left>
        <right style="thin">
          <color theme="6" tint="0.39997558519241921"/>
        </right>
        <top style="thin">
          <color theme="6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border outline="0">
        <right style="thin">
          <color theme="6" tint="0.39997558519241921"/>
        </right>
        <top style="thin">
          <color theme="6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'Informatics Exam'!$A$6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'Informatics Exam'!$B$1:$M$1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'Informatics Exam'!$B$6:$M$6</c:f>
              <c:numCache>
                <c:formatCode>General</c:formatCode>
                <c:ptCount val="12"/>
                <c:pt idx="0">
                  <c:v>18298</c:v>
                </c:pt>
                <c:pt idx="1">
                  <c:v>18375</c:v>
                </c:pt>
                <c:pt idx="2">
                  <c:v>14533</c:v>
                </c:pt>
                <c:pt idx="3">
                  <c:v>18589</c:v>
                </c:pt>
                <c:pt idx="4">
                  <c:v>13410</c:v>
                </c:pt>
                <c:pt idx="5">
                  <c:v>21767</c:v>
                </c:pt>
                <c:pt idx="6">
                  <c:v>20283</c:v>
                </c:pt>
                <c:pt idx="7">
                  <c:v>17678</c:v>
                </c:pt>
                <c:pt idx="8">
                  <c:v>18217</c:v>
                </c:pt>
                <c:pt idx="9">
                  <c:v>15590</c:v>
                </c:pt>
                <c:pt idx="10">
                  <c:v>19608</c:v>
                </c:pt>
                <c:pt idx="11">
                  <c:v>20434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F7-402E-BBF7-5DDB65230D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2466800"/>
        <c:axId val="1318750720"/>
      </c:lineChart>
      <c:catAx>
        <c:axId val="1312466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750720"/>
        <c:crosses val="autoZero"/>
        <c:auto val="1"/>
        <c:lblAlgn val="ctr"/>
        <c:lblOffset val="100"/>
        <c:noMultiLvlLbl val="0"/>
      </c:catAx>
      <c:valAx>
        <c:axId val="131875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466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'Informatics Exam'!$A$2</c:f>
              <c:strCache>
                <c:ptCount val="1"/>
                <c:pt idx="0">
                  <c:v>IC3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'Informatics Exam'!$B$1:$M$1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'Informatics Exam'!$B$2:$M$2</c:f>
              <c:numCache>
                <c:formatCode>General</c:formatCode>
                <c:ptCount val="12"/>
                <c:pt idx="0">
                  <c:v>3929</c:v>
                </c:pt>
                <c:pt idx="1">
                  <c:v>5098</c:v>
                </c:pt>
                <c:pt idx="2">
                  <c:v>2928</c:v>
                </c:pt>
                <c:pt idx="3">
                  <c:v>6128</c:v>
                </c:pt>
                <c:pt idx="4">
                  <c:v>2785</c:v>
                </c:pt>
                <c:pt idx="5">
                  <c:v>7063</c:v>
                </c:pt>
                <c:pt idx="6">
                  <c:v>2547</c:v>
                </c:pt>
                <c:pt idx="7">
                  <c:v>5546</c:v>
                </c:pt>
                <c:pt idx="8">
                  <c:v>3188</c:v>
                </c:pt>
                <c:pt idx="9">
                  <c:v>4488</c:v>
                </c:pt>
                <c:pt idx="10">
                  <c:v>5566</c:v>
                </c:pt>
                <c:pt idx="11">
                  <c:v>5211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4C-41B6-9189-FAEEA8D1E79C}"/>
            </c:ext>
          </c:extLst>
        </c:ser>
        <c:ser>
          <c:idx val="1"/>
          <c:order val="1"/>
          <c:tx>
            <c:strRef>
              <c:f>'Informatics Exam'!$A$3</c:f>
              <c:strCache>
                <c:ptCount val="1"/>
                <c:pt idx="0">
                  <c:v>IELTS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'Informatics Exam'!$B$1:$M$1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'Informatics Exam'!$B$3:$M$3</c:f>
              <c:numCache>
                <c:formatCode>General</c:formatCode>
                <c:ptCount val="12"/>
                <c:pt idx="0">
                  <c:v>5877</c:v>
                </c:pt>
                <c:pt idx="1">
                  <c:v>3846</c:v>
                </c:pt>
                <c:pt idx="2">
                  <c:v>4471</c:v>
                </c:pt>
                <c:pt idx="3">
                  <c:v>4476</c:v>
                </c:pt>
                <c:pt idx="4">
                  <c:v>1861</c:v>
                </c:pt>
                <c:pt idx="5">
                  <c:v>4829</c:v>
                </c:pt>
                <c:pt idx="6">
                  <c:v>6747</c:v>
                </c:pt>
                <c:pt idx="7">
                  <c:v>3078</c:v>
                </c:pt>
                <c:pt idx="8">
                  <c:v>5955</c:v>
                </c:pt>
                <c:pt idx="9">
                  <c:v>5048</c:v>
                </c:pt>
                <c:pt idx="10">
                  <c:v>4156</c:v>
                </c:pt>
                <c:pt idx="11">
                  <c:v>3227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4C-41B6-9189-FAEEA8D1E79C}"/>
            </c:ext>
          </c:extLst>
        </c:ser>
        <c:ser>
          <c:idx val="2"/>
          <c:order val="2"/>
          <c:tx>
            <c:strRef>
              <c:f>'Informatics Exam'!$A$4</c:f>
              <c:strCache>
                <c:ptCount val="1"/>
                <c:pt idx="0">
                  <c:v>MOS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'Informatics Exam'!$B$1:$M$1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'Informatics Exam'!$B$4:$M$4</c:f>
              <c:numCache>
                <c:formatCode>General</c:formatCode>
                <c:ptCount val="12"/>
                <c:pt idx="0">
                  <c:v>3270</c:v>
                </c:pt>
                <c:pt idx="1">
                  <c:v>5465</c:v>
                </c:pt>
                <c:pt idx="2">
                  <c:v>3811</c:v>
                </c:pt>
                <c:pt idx="3">
                  <c:v>3258</c:v>
                </c:pt>
                <c:pt idx="4">
                  <c:v>4092</c:v>
                </c:pt>
                <c:pt idx="5">
                  <c:v>3671</c:v>
                </c:pt>
                <c:pt idx="6">
                  <c:v>6105</c:v>
                </c:pt>
                <c:pt idx="7">
                  <c:v>4773</c:v>
                </c:pt>
                <c:pt idx="8">
                  <c:v>3420</c:v>
                </c:pt>
                <c:pt idx="9">
                  <c:v>1930</c:v>
                </c:pt>
                <c:pt idx="10">
                  <c:v>6539</c:v>
                </c:pt>
                <c:pt idx="11">
                  <c:v>6290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4C-41B6-9189-FAEEA8D1E79C}"/>
            </c:ext>
          </c:extLst>
        </c:ser>
        <c:ser>
          <c:idx val="3"/>
          <c:order val="3"/>
          <c:tx>
            <c:strRef>
              <c:f>'Informatics Exam'!$A$5</c:f>
              <c:strCache>
                <c:ptCount val="1"/>
                <c:pt idx="0">
                  <c:v>ICDL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'Informatics Exam'!$B$1:$M$1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'Informatics Exam'!$B$5:$M$5</c:f>
              <c:numCache>
                <c:formatCode>General</c:formatCode>
                <c:ptCount val="12"/>
                <c:pt idx="0">
                  <c:v>5222</c:v>
                </c:pt>
                <c:pt idx="1">
                  <c:v>3966</c:v>
                </c:pt>
                <c:pt idx="2">
                  <c:v>3323</c:v>
                </c:pt>
                <c:pt idx="3">
                  <c:v>4727</c:v>
                </c:pt>
                <c:pt idx="4">
                  <c:v>4672</c:v>
                </c:pt>
                <c:pt idx="5">
                  <c:v>6204</c:v>
                </c:pt>
                <c:pt idx="6">
                  <c:v>4884</c:v>
                </c:pt>
                <c:pt idx="7">
                  <c:v>4281</c:v>
                </c:pt>
                <c:pt idx="8">
                  <c:v>5654</c:v>
                </c:pt>
                <c:pt idx="9">
                  <c:v>4124</c:v>
                </c:pt>
                <c:pt idx="10">
                  <c:v>3347</c:v>
                </c:pt>
                <c:pt idx="11">
                  <c:v>5706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4C-41B6-9189-FAEEA8D1E7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7987392"/>
        <c:axId val="1387826128"/>
      </c:barChart>
      <c:catAx>
        <c:axId val="142798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826128"/>
        <c:crosses val="autoZero"/>
        <c:auto val="1"/>
        <c:lblAlgn val="ctr"/>
        <c:lblOffset val="100"/>
        <c:noMultiLvlLbl val="0"/>
      </c:catAx>
      <c:valAx>
        <c:axId val="138782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987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Q1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'Informatics Exam'!$B$1</c:f>
              <c:strCache>
                <c:ptCount val="1"/>
                <c:pt idx="0">
                  <c:v>January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'Informatics Exam'!$A$2:$A$5</c:f>
              <c:strCache>
                <c:ptCount val="4"/>
                <c:pt idx="0">
                  <c:v>IC3</c:v>
                </c:pt>
                <c:pt idx="1">
                  <c:v>IELTS</c:v>
                </c:pt>
                <c:pt idx="2">
                  <c:v>MOS</c:v>
                </c:pt>
                <c:pt idx="3">
                  <c:v>ICDL</c:v>
                </c:pt>
              </c:strCache>
            </c:strRef>
          </c:cat>
          <c:val>
            <c:numRef>
              <c:f>'Informatics Exam'!$B$2:$B$5</c:f>
              <c:numCache>
                <c:formatCode>General</c:formatCode>
                <c:ptCount val="4"/>
                <c:pt idx="0">
                  <c:v>3929</c:v>
                </c:pt>
                <c:pt idx="1">
                  <c:v>5877</c:v>
                </c:pt>
                <c:pt idx="2">
                  <c:v>3270</c:v>
                </c:pt>
                <c:pt idx="3">
                  <c:v>5222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DF-47E0-87D6-7D47B5B49BBC}"/>
            </c:ext>
          </c:extLst>
        </c:ser>
        <c:ser>
          <c:idx val="1"/>
          <c:order val="1"/>
          <c:tx>
            <c:strRef>
              <c:f>'Informatics Exam'!$C$1</c:f>
              <c:strCache>
                <c:ptCount val="1"/>
                <c:pt idx="0">
                  <c:v>February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'Informatics Exam'!$A$2:$A$5</c:f>
              <c:strCache>
                <c:ptCount val="4"/>
                <c:pt idx="0">
                  <c:v>IC3</c:v>
                </c:pt>
                <c:pt idx="1">
                  <c:v>IELTS</c:v>
                </c:pt>
                <c:pt idx="2">
                  <c:v>MOS</c:v>
                </c:pt>
                <c:pt idx="3">
                  <c:v>ICDL</c:v>
                </c:pt>
              </c:strCache>
            </c:strRef>
          </c:cat>
          <c:val>
            <c:numRef>
              <c:f>'Informatics Exam'!$C$2:$C$5</c:f>
              <c:numCache>
                <c:formatCode>General</c:formatCode>
                <c:ptCount val="4"/>
                <c:pt idx="0">
                  <c:v>5098</c:v>
                </c:pt>
                <c:pt idx="1">
                  <c:v>3846</c:v>
                </c:pt>
                <c:pt idx="2">
                  <c:v>5465</c:v>
                </c:pt>
                <c:pt idx="3">
                  <c:v>3966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DF-47E0-87D6-7D47B5B49BBC}"/>
            </c:ext>
          </c:extLst>
        </c:ser>
        <c:ser>
          <c:idx val="2"/>
          <c:order val="2"/>
          <c:tx>
            <c:strRef>
              <c:f>'Informatics Exam'!$D$1</c:f>
              <c:strCache>
                <c:ptCount val="1"/>
                <c:pt idx="0">
                  <c:v>March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'Informatics Exam'!$A$2:$A$5</c:f>
              <c:strCache>
                <c:ptCount val="4"/>
                <c:pt idx="0">
                  <c:v>IC3</c:v>
                </c:pt>
                <c:pt idx="1">
                  <c:v>IELTS</c:v>
                </c:pt>
                <c:pt idx="2">
                  <c:v>MOS</c:v>
                </c:pt>
                <c:pt idx="3">
                  <c:v>ICDL</c:v>
                </c:pt>
              </c:strCache>
            </c:strRef>
          </c:cat>
          <c:val>
            <c:numRef>
              <c:f>'Informatics Exam'!$D$2:$D$5</c:f>
              <c:numCache>
                <c:formatCode>General</c:formatCode>
                <c:ptCount val="4"/>
                <c:pt idx="0">
                  <c:v>2928</c:v>
                </c:pt>
                <c:pt idx="1">
                  <c:v>4471</c:v>
                </c:pt>
                <c:pt idx="2">
                  <c:v>3811</c:v>
                </c:pt>
                <c:pt idx="3">
                  <c:v>3323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DF-47E0-87D6-7D47B5B49B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3591872"/>
        <c:axId val="1387824048"/>
      </c:barChart>
      <c:catAx>
        <c:axId val="1393591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824048"/>
        <c:crosses val="autoZero"/>
        <c:auto val="1"/>
        <c:lblAlgn val="ctr"/>
        <c:lblOffset val="100"/>
        <c:noMultiLvlLbl val="0"/>
      </c:catAx>
      <c:valAx>
        <c:axId val="138782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591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GMetrix</a:t>
            </a:r>
            <a:r>
              <a:rPr lang="en-US" baseline="0"/>
              <a:t> Account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'GMetrix Account'!$B$1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'GMetrix Account'!$A$2:$A$4</c:f>
              <c:strCache>
                <c:ptCount val="3"/>
                <c:pt idx="0">
                  <c:v>IC3</c:v>
                </c:pt>
                <c:pt idx="1">
                  <c:v>MOS</c:v>
                </c:pt>
                <c:pt idx="2">
                  <c:v>ICDL</c:v>
                </c:pt>
              </c:strCache>
            </c:strRef>
          </c:cat>
          <c:val>
            <c:numRef>
              <c:f>'GMetrix Account'!$B$2:$B$4</c:f>
              <c:numCache>
                <c:formatCode>General</c:formatCode>
                <c:ptCount val="3"/>
                <c:pt idx="0">
                  <c:v>3929</c:v>
                </c:pt>
                <c:pt idx="1">
                  <c:v>5098</c:v>
                </c:pt>
                <c:pt idx="2">
                  <c:v>2928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A0-4F29-9331-D473C39DC701}"/>
            </c:ext>
          </c:extLst>
        </c:ser>
        <c:ser>
          <c:idx val="1"/>
          <c:order val="1"/>
          <c:tx>
            <c:strRef>
              <c:f>'GMetrix Account'!$C$1</c:f>
              <c:strCache>
                <c:ptCount val="1"/>
                <c:pt idx="0">
                  <c:v>June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'GMetrix Account'!$A$2:$A$4</c:f>
              <c:strCache>
                <c:ptCount val="3"/>
                <c:pt idx="0">
                  <c:v>IC3</c:v>
                </c:pt>
                <c:pt idx="1">
                  <c:v>MOS</c:v>
                </c:pt>
                <c:pt idx="2">
                  <c:v>ICDL</c:v>
                </c:pt>
              </c:strCache>
            </c:strRef>
          </c:cat>
          <c:val>
            <c:numRef>
              <c:f>'GMetrix Account'!$C$2:$C$4</c:f>
              <c:numCache>
                <c:formatCode>General</c:formatCode>
                <c:ptCount val="3"/>
                <c:pt idx="0">
                  <c:v>5877</c:v>
                </c:pt>
                <c:pt idx="1">
                  <c:v>3846</c:v>
                </c:pt>
                <c:pt idx="2">
                  <c:v>4471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A0-4F29-9331-D473C39DC701}"/>
            </c:ext>
          </c:extLst>
        </c:ser>
        <c:ser>
          <c:idx val="2"/>
          <c:order val="2"/>
          <c:tx>
            <c:strRef>
              <c:f>'GMetrix Account'!$D$1</c:f>
              <c:strCache>
                <c:ptCount val="1"/>
                <c:pt idx="0">
                  <c:v>July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'GMetrix Account'!$A$2:$A$4</c:f>
              <c:strCache>
                <c:ptCount val="3"/>
                <c:pt idx="0">
                  <c:v>IC3</c:v>
                </c:pt>
                <c:pt idx="1">
                  <c:v>MOS</c:v>
                </c:pt>
                <c:pt idx="2">
                  <c:v>ICDL</c:v>
                </c:pt>
              </c:strCache>
            </c:strRef>
          </c:cat>
          <c:val>
            <c:numRef>
              <c:f>'GMetrix Account'!$D$2:$D$4</c:f>
              <c:numCache>
                <c:formatCode>General</c:formatCode>
                <c:ptCount val="3"/>
                <c:pt idx="0">
                  <c:v>3270</c:v>
                </c:pt>
                <c:pt idx="1">
                  <c:v>5465</c:v>
                </c:pt>
                <c:pt idx="2">
                  <c:v>3811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A0-4F29-9331-D473C39DC7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70608160"/>
        <c:axId val="1275036640"/>
        <c:axId val="0"/>
      </c:bar3DChart>
      <c:catAx>
        <c:axId val="1570608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036640"/>
        <c:crosses val="autoZero"/>
        <c:auto val="1"/>
        <c:lblAlgn val="ctr"/>
        <c:lblOffset val="100"/>
        <c:noMultiLvlLbl val="0"/>
      </c:catAx>
      <c:valAx>
        <c:axId val="127503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608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6</xdr:rowOff>
    </xdr:from>
    <xdr:to>
      <xdr:col>5</xdr:col>
      <xdr:colOff>723900</xdr:colOff>
      <xdr:row>22</xdr:row>
      <xdr:rowOff>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57811E-C2C7-44E2-9F57-890F61A598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6</xdr:row>
      <xdr:rowOff>179070</xdr:rowOff>
    </xdr:from>
    <xdr:to>
      <xdr:col>13</xdr:col>
      <xdr:colOff>0</xdr:colOff>
      <xdr:row>21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A95E5CE-0415-4831-BE9C-3A71AEA39B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22</xdr:row>
      <xdr:rowOff>179070</xdr:rowOff>
    </xdr:from>
    <xdr:to>
      <xdr:col>6</xdr:col>
      <xdr:colOff>0</xdr:colOff>
      <xdr:row>37</xdr:row>
      <xdr:rowOff>179070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9535B8C-0D8D-42DA-9BCB-9FCFD714F2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0</xdr:row>
      <xdr:rowOff>0</xdr:rowOff>
    </xdr:from>
    <xdr:to>
      <xdr:col>10</xdr:col>
      <xdr:colOff>586740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6379F3-47AC-4CD8-8250-B69683C858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A1253E-B159-46FB-BC73-A4FF0C238BFA}" name="Table5" displayName="Table5" ref="A1:M6" totalsRowCount="1" headerRowDxfId="51" dataDxfId="50" tableBorderDxfId="49">
  <autoFilter ref="A1:M5" xr:uid="{EFA123C8-64A3-4E7C-9985-C28A04A26884}"/>
  <tableColumns count="13">
    <tableColumn id="1" xr3:uid="{3C0821B5-D4BA-4775-A502-B92458990C09}" name="Exam" totalsRowLabel="Total" dataDxfId="48"/>
    <tableColumn id="2" xr3:uid="{886C3E87-2F79-4AAC-B96A-575F9B633426}" name="January" totalsRowFunction="sum" dataDxfId="47"/>
    <tableColumn id="3" xr3:uid="{F5CF5309-A3B4-4A8A-B88A-76BA61E5AE62}" name="February" totalsRowFunction="sum" dataDxfId="46"/>
    <tableColumn id="4" xr3:uid="{A3F1F0C9-EE5A-4F29-B84D-7ADD26C6DC25}" name="March" totalsRowFunction="sum" dataDxfId="45"/>
    <tableColumn id="5" xr3:uid="{8CC859FA-F150-434C-87CC-AD1599F780DB}" name="April" totalsRowFunction="sum" dataDxfId="44"/>
    <tableColumn id="6" xr3:uid="{C65809CF-76A4-4D27-A463-38D88CE56AD9}" name="May" totalsRowFunction="sum" dataDxfId="43"/>
    <tableColumn id="7" xr3:uid="{5FA79026-2DB0-42A7-8A53-EB57B39D911A}" name="June" totalsRowFunction="sum" dataDxfId="42"/>
    <tableColumn id="8" xr3:uid="{D2263BC0-21E2-4818-94A7-C894C6E29BD3}" name="July" totalsRowFunction="sum" dataDxfId="41"/>
    <tableColumn id="9" xr3:uid="{60F114AD-3769-4A80-A72C-80B2AFA0B469}" name="August" totalsRowFunction="sum" dataDxfId="40"/>
    <tableColumn id="10" xr3:uid="{4F72B0A0-4320-4940-AAED-65121C0DD5B3}" name="September" totalsRowFunction="sum" dataDxfId="39"/>
    <tableColumn id="11" xr3:uid="{3C624947-5150-4717-92C8-026B67170EC7}" name="October" totalsRowFunction="sum" dataDxfId="38"/>
    <tableColumn id="12" xr3:uid="{DE1DDF6F-2AB6-4692-9C26-7F2E7A8F42E4}" name="November" totalsRowFunction="sum" dataDxfId="37"/>
    <tableColumn id="13" xr3:uid="{AEE57E17-87D3-437D-8F24-A8E7090D954D}" name="December" totalsRowFunction="sum" dataDxfId="3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101B6A8-F46A-4149-9A57-18131D3F967A}" name="Monthly_Statistical_Enrollment" displayName="Monthly_Statistical_Enrollment" ref="A2:E7" totalsRowShown="0" headerRowDxfId="35" dataDxfId="34" tableBorderDxfId="33">
  <autoFilter ref="A2:E7" xr:uid="{01321CB3-D3F5-4E83-AAA1-82D6FFBBE787}"/>
  <tableColumns count="5">
    <tableColumn id="1" xr3:uid="{742E2608-9A68-41B6-8933-66D687430DD2}" name="Test Site" dataDxfId="32"/>
    <tableColumn id="2" xr3:uid="{22DE23D9-9A61-4899-923C-3D88FA9CEF41}" name="June" dataDxfId="31"/>
    <tableColumn id="3" xr3:uid="{EC8895CB-0349-4894-89DF-E28A391E8DFE}" name="July" dataDxfId="30"/>
    <tableColumn id="4" xr3:uid="{EE64724A-9794-431A-B58B-D7A7A12897BB}" name="August" dataDxfId="29"/>
    <tableColumn id="5" xr3:uid="{C09816B5-CCC8-4F0A-AE2E-433D5F22DCE1}" name="September" dataDxfId="2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140D1A-4497-4D59-9960-968F73791925}" name="Table2" displayName="Table2" ref="A1:F4" totalsRowShown="0" headerRowDxfId="27" dataDxfId="25" headerRowBorderDxfId="26" tableBorderDxfId="24" totalsRowBorderDxfId="23">
  <autoFilter ref="A1:F4" xr:uid="{27CB0733-F39D-4AB4-A0C8-0220260E17D2}"/>
  <tableColumns count="6">
    <tableColumn id="1" xr3:uid="{8AF517A9-6D06-4330-AFC0-700715E9D044}" name="Exams" dataDxfId="22"/>
    <tableColumn id="2" xr3:uid="{DF989B60-465E-4B0B-9907-D12A34E548BF}" name="May" dataDxfId="21"/>
    <tableColumn id="3" xr3:uid="{03AB0BD0-DE82-4E98-8D78-F54BDE1134B6}" name="June" dataDxfId="20"/>
    <tableColumn id="4" xr3:uid="{AC2CA648-C20F-4E87-B46A-B1ACD6838030}" name="July" dataDxfId="19"/>
    <tableColumn id="5" xr3:uid="{ED5ACDB8-C72A-4EEC-9DB9-14303281C227}" name="August" dataDxfId="18"/>
    <tableColumn id="6" xr3:uid="{7363198A-9FA7-43D9-97B2-4264187955F5}" name="Monthly Average" dataDxfId="17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4346289-483A-435A-A8AF-9516D6A96F24}" name="Table46" displayName="Table46" ref="A2:E6" totalsRowCount="1">
  <autoFilter ref="A2:E5" xr:uid="{16FF73ED-0A20-4346-85EE-7E0225E2D328}"/>
  <tableColumns count="5">
    <tableColumn id="2" xr3:uid="{908DF98B-C03F-4B42-B185-27CCD447CA10}" name="Exam" totalsRowLabel="Total"/>
    <tableColumn id="3" xr3:uid="{E0C5C5BA-D3D8-40CA-BE22-ECE6ADBF3693}" name="Qtr1" totalsRowFunction="sum" dataDxfId="16" totalsRowDxfId="15"/>
    <tableColumn id="4" xr3:uid="{1CA49278-9D7B-46E8-9E18-0053164A1B8B}" name="Qtr2" totalsRowFunction="sum" dataDxfId="14" totalsRowDxfId="13"/>
    <tableColumn id="5" xr3:uid="{BF369BEE-3C92-4CD9-B338-9168C9BA5AA5}" name="Qtr3" totalsRowFunction="sum" dataDxfId="12" totalsRowDxfId="11"/>
    <tableColumn id="6" xr3:uid="{F0B14391-7204-460D-82EA-8F0C6C469B6E}" name="Qtr4" totalsRowFunction="sum" dataDxfId="10" totalsRowDxfId="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D12EB97-B971-43D6-901F-0452908D15C5}" name="Table467" displayName="Table467" ref="A12:E16" totalsRowCount="1" headerRowDxfId="8">
  <autoFilter ref="A12:E15" xr:uid="{58B494E5-98C0-4534-B799-1F0B7088D322}"/>
  <tableColumns count="5">
    <tableColumn id="2" xr3:uid="{8B9DA5BD-2EF2-4C6E-A0F1-083797F39298}" name="Foreign language Exam" totalsRowLabel="Total"/>
    <tableColumn id="3" xr3:uid="{58C928AF-421F-44BA-869C-9C94CAC2F285}" name="Qtr1" totalsRowFunction="sum" dataDxfId="7" totalsRowDxfId="6"/>
    <tableColumn id="4" xr3:uid="{22253D92-AC3A-4896-BD2C-6EACFE314443}" name="Qtr2" totalsRowFunction="sum" dataDxfId="5" totalsRowDxfId="4"/>
    <tableColumn id="5" xr3:uid="{16C03524-0CDA-41EE-BAA5-D5F49546B79D}" name="Qtr3" totalsRowFunction="sum" dataDxfId="3" totalsRowDxfId="2"/>
    <tableColumn id="6" xr3:uid="{7E6B1280-4251-4EA0-B550-8B16487890BC}" name="Qtr4" totalsRowFunction="sum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67033-895D-4479-96CF-C1446FCFEC89}">
  <dimension ref="A1:M6"/>
  <sheetViews>
    <sheetView zoomScaleNormal="100" workbookViewId="0">
      <selection activeCell="K27" sqref="K27"/>
    </sheetView>
  </sheetViews>
  <sheetFormatPr defaultColWidth="8.88671875" defaultRowHeight="14.4" x14ac:dyDescent="0.3"/>
  <cols>
    <col min="1" max="13" width="14.55468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2">
        <v>3929</v>
      </c>
      <c r="C2" s="2">
        <v>5098</v>
      </c>
      <c r="D2" s="2">
        <v>2928</v>
      </c>
      <c r="E2" s="2">
        <v>6128</v>
      </c>
      <c r="F2" s="2">
        <v>2785</v>
      </c>
      <c r="G2" s="2">
        <v>7063</v>
      </c>
      <c r="H2" s="2">
        <v>2547</v>
      </c>
      <c r="I2" s="2">
        <v>5546</v>
      </c>
      <c r="J2" s="2">
        <v>3188</v>
      </c>
      <c r="K2" s="2">
        <v>4488</v>
      </c>
      <c r="L2" s="2">
        <v>5566</v>
      </c>
      <c r="M2" s="2">
        <v>5211</v>
      </c>
    </row>
    <row r="3" spans="1:13" x14ac:dyDescent="0.3">
      <c r="A3" s="2" t="s">
        <v>14</v>
      </c>
      <c r="B3" s="2">
        <v>5877</v>
      </c>
      <c r="C3" s="2">
        <v>3846</v>
      </c>
      <c r="D3" s="2">
        <v>4471</v>
      </c>
      <c r="E3" s="2">
        <v>4476</v>
      </c>
      <c r="F3" s="2">
        <v>1861</v>
      </c>
      <c r="G3" s="2">
        <v>4829</v>
      </c>
      <c r="H3" s="2">
        <v>6747</v>
      </c>
      <c r="I3" s="2">
        <v>3078</v>
      </c>
      <c r="J3" s="2">
        <v>5955</v>
      </c>
      <c r="K3" s="2">
        <v>5048</v>
      </c>
      <c r="L3" s="2">
        <v>4156</v>
      </c>
      <c r="M3" s="2">
        <v>3227</v>
      </c>
    </row>
    <row r="4" spans="1:13" x14ac:dyDescent="0.3">
      <c r="A4" s="2" t="s">
        <v>15</v>
      </c>
      <c r="B4" s="2">
        <v>3270</v>
      </c>
      <c r="C4" s="2">
        <v>5465</v>
      </c>
      <c r="D4" s="2">
        <v>3811</v>
      </c>
      <c r="E4" s="2">
        <v>3258</v>
      </c>
      <c r="F4" s="2">
        <v>4092</v>
      </c>
      <c r="G4" s="2">
        <v>3671</v>
      </c>
      <c r="H4" s="2">
        <v>6105</v>
      </c>
      <c r="I4" s="2">
        <v>4773</v>
      </c>
      <c r="J4" s="2">
        <v>3420</v>
      </c>
      <c r="K4" s="2">
        <v>1930</v>
      </c>
      <c r="L4" s="2">
        <v>6539</v>
      </c>
      <c r="M4" s="2">
        <v>6290</v>
      </c>
    </row>
    <row r="5" spans="1:13" x14ac:dyDescent="0.3">
      <c r="A5" s="2" t="s">
        <v>16</v>
      </c>
      <c r="B5" s="2">
        <v>5222</v>
      </c>
      <c r="C5" s="2">
        <v>3966</v>
      </c>
      <c r="D5" s="2">
        <v>3323</v>
      </c>
      <c r="E5" s="2">
        <v>4727</v>
      </c>
      <c r="F5" s="2">
        <v>4672</v>
      </c>
      <c r="G5" s="2">
        <v>6204</v>
      </c>
      <c r="H5" s="2">
        <v>4884</v>
      </c>
      <c r="I5" s="2">
        <v>4281</v>
      </c>
      <c r="J5" s="2">
        <v>5654</v>
      </c>
      <c r="K5" s="2">
        <v>4124</v>
      </c>
      <c r="L5" s="2">
        <v>3347</v>
      </c>
      <c r="M5" s="2">
        <v>5706</v>
      </c>
    </row>
    <row r="6" spans="1:13" x14ac:dyDescent="0.3">
      <c r="A6" t="s">
        <v>17</v>
      </c>
      <c r="B6">
        <f>SUBTOTAL(109,Table5[January])</f>
        <v>18298</v>
      </c>
      <c r="C6">
        <f>SUBTOTAL(109,Table5[February])</f>
        <v>18375</v>
      </c>
      <c r="D6">
        <f>SUBTOTAL(109,Table5[March])</f>
        <v>14533</v>
      </c>
      <c r="E6">
        <f>SUBTOTAL(109,Table5[April])</f>
        <v>18589</v>
      </c>
      <c r="F6">
        <f>SUBTOTAL(109,Table5[May])</f>
        <v>13410</v>
      </c>
      <c r="G6">
        <f>SUBTOTAL(109,Table5[June])</f>
        <v>21767</v>
      </c>
      <c r="H6">
        <f>SUBTOTAL(109,Table5[July])</f>
        <v>20283</v>
      </c>
      <c r="I6">
        <f>SUBTOTAL(109,Table5[August])</f>
        <v>17678</v>
      </c>
      <c r="J6">
        <f>SUBTOTAL(109,Table5[September])</f>
        <v>18217</v>
      </c>
      <c r="K6">
        <f>SUBTOTAL(109,Table5[October])</f>
        <v>15590</v>
      </c>
      <c r="L6">
        <f>SUBTOTAL(109,Table5[November])</f>
        <v>19608</v>
      </c>
      <c r="M6">
        <f>SUBTOTAL(109,Table5[December])</f>
        <v>20434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9F45D-CB05-4869-96F0-F1EA06BC7CAA}">
  <dimension ref="A1:M13"/>
  <sheetViews>
    <sheetView zoomScaleNormal="100" workbookViewId="0">
      <selection activeCell="B12" sqref="B12"/>
    </sheetView>
  </sheetViews>
  <sheetFormatPr defaultColWidth="8.88671875" defaultRowHeight="14.4" x14ac:dyDescent="0.3"/>
  <cols>
    <col min="1" max="1" width="24.5546875" bestFit="1" customWidth="1"/>
    <col min="2" max="2" width="10.6640625" customWidth="1"/>
    <col min="3" max="3" width="17.109375" customWidth="1"/>
    <col min="4" max="4" width="10.6640625" customWidth="1"/>
    <col min="5" max="5" width="19.33203125" customWidth="1"/>
    <col min="6" max="6" width="18.88671875" customWidth="1"/>
    <col min="7" max="7" width="18.109375" bestFit="1" customWidth="1"/>
    <col min="8" max="8" width="48.33203125" bestFit="1" customWidth="1"/>
    <col min="10" max="10" width="12.109375" customWidth="1"/>
    <col min="11" max="11" width="9.6640625" customWidth="1"/>
    <col min="12" max="12" width="11.77734375" customWidth="1"/>
    <col min="13" max="13" width="11.44140625" customWidth="1"/>
  </cols>
  <sheetData>
    <row r="1" spans="1:13" ht="21" x14ac:dyDescent="0.4">
      <c r="A1" s="12" t="s">
        <v>25</v>
      </c>
      <c r="B1" s="12"/>
      <c r="C1" s="12"/>
      <c r="D1" s="12"/>
      <c r="E1" s="12"/>
      <c r="F1" s="12"/>
    </row>
    <row r="2" spans="1:13" x14ac:dyDescent="0.3">
      <c r="A2" s="8" t="s">
        <v>20</v>
      </c>
      <c r="B2" s="8" t="s">
        <v>6</v>
      </c>
      <c r="C2" s="8" t="s">
        <v>7</v>
      </c>
      <c r="D2" s="8" t="s">
        <v>8</v>
      </c>
      <c r="E2" s="8" t="s">
        <v>9</v>
      </c>
      <c r="F2" s="11" t="s">
        <v>19</v>
      </c>
      <c r="H2" s="8"/>
      <c r="I2" s="8"/>
      <c r="J2" s="8"/>
      <c r="K2" s="8"/>
      <c r="L2" s="8"/>
      <c r="M2" s="8"/>
    </row>
    <row r="3" spans="1:13" x14ac:dyDescent="0.3">
      <c r="A3" s="2" t="s">
        <v>21</v>
      </c>
      <c r="B3" s="2">
        <v>9597</v>
      </c>
      <c r="C3" s="2">
        <v>9956</v>
      </c>
      <c r="D3" s="2">
        <v>4920</v>
      </c>
      <c r="E3" s="2"/>
      <c r="H3" s="2"/>
      <c r="I3" s="2"/>
      <c r="J3" s="2"/>
      <c r="K3" s="2"/>
      <c r="L3" s="2"/>
      <c r="M3" s="2"/>
    </row>
    <row r="4" spans="1:13" x14ac:dyDescent="0.3">
      <c r="A4" s="2" t="s">
        <v>22</v>
      </c>
      <c r="B4" s="2">
        <v>5497</v>
      </c>
      <c r="C4" s="2">
        <v>4666</v>
      </c>
      <c r="D4" s="2">
        <v>3663</v>
      </c>
      <c r="E4" s="2"/>
      <c r="H4" s="2"/>
      <c r="I4" s="2"/>
      <c r="J4" s="2"/>
      <c r="K4" s="2"/>
      <c r="L4" s="2"/>
      <c r="M4" s="2"/>
    </row>
    <row r="5" spans="1:13" x14ac:dyDescent="0.3">
      <c r="A5" s="2" t="s">
        <v>23</v>
      </c>
      <c r="B5" s="2">
        <v>4996</v>
      </c>
      <c r="C5" s="2">
        <v>2530</v>
      </c>
      <c r="D5" s="2">
        <v>4158</v>
      </c>
      <c r="E5" s="2"/>
      <c r="H5" s="2"/>
      <c r="I5" s="2"/>
      <c r="J5" s="2"/>
      <c r="K5" s="2"/>
      <c r="L5" s="2"/>
      <c r="M5" s="2"/>
    </row>
    <row r="6" spans="1:13" x14ac:dyDescent="0.3">
      <c r="A6" s="2" t="s">
        <v>24</v>
      </c>
      <c r="B6" s="2">
        <v>2410</v>
      </c>
      <c r="C6" s="2">
        <v>5248</v>
      </c>
      <c r="D6" s="2">
        <v>3898</v>
      </c>
      <c r="E6" s="2"/>
      <c r="H6" s="2"/>
      <c r="I6" s="2"/>
      <c r="J6" s="2"/>
      <c r="K6" s="2"/>
      <c r="L6" s="2"/>
      <c r="M6" s="2"/>
    </row>
    <row r="7" spans="1:13" x14ac:dyDescent="0.3">
      <c r="A7" s="2" t="s">
        <v>26</v>
      </c>
      <c r="B7" s="2">
        <v>3632</v>
      </c>
      <c r="C7" s="2">
        <v>4243</v>
      </c>
      <c r="D7" s="2">
        <v>4248</v>
      </c>
      <c r="E7" s="2"/>
      <c r="F7" s="2"/>
    </row>
    <row r="9" spans="1:13" ht="15" thickBot="1" x14ac:dyDescent="0.35">
      <c r="A9" s="13" t="s">
        <v>36</v>
      </c>
      <c r="B9" s="13" t="s">
        <v>17</v>
      </c>
    </row>
    <row r="10" spans="1:13" ht="15" thickTop="1" x14ac:dyDescent="0.3">
      <c r="A10" t="s">
        <v>28</v>
      </c>
    </row>
    <row r="11" spans="1:13" x14ac:dyDescent="0.3">
      <c r="A11" t="s">
        <v>29</v>
      </c>
    </row>
    <row r="12" spans="1:13" x14ac:dyDescent="0.3">
      <c r="A12" t="s">
        <v>30</v>
      </c>
    </row>
    <row r="13" spans="1:13" x14ac:dyDescent="0.3">
      <c r="A13" t="s">
        <v>31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D9C83-6E97-4A51-941F-B24DB7E27F87}">
  <dimension ref="A1:F4"/>
  <sheetViews>
    <sheetView zoomScaleNormal="100" workbookViewId="0">
      <selection activeCell="B3" sqref="B3"/>
    </sheetView>
  </sheetViews>
  <sheetFormatPr defaultColWidth="8.88671875" defaultRowHeight="14.4" x14ac:dyDescent="0.3"/>
  <cols>
    <col min="1" max="4" width="14.5546875" customWidth="1"/>
    <col min="5" max="5" width="17.44140625" customWidth="1"/>
    <col min="6" max="6" width="17.88671875" bestFit="1" customWidth="1"/>
    <col min="7" max="13" width="14.5546875" customWidth="1"/>
  </cols>
  <sheetData>
    <row r="1" spans="1:6" x14ac:dyDescent="0.3">
      <c r="A1" s="3" t="s">
        <v>18</v>
      </c>
      <c r="B1" s="4" t="s">
        <v>5</v>
      </c>
      <c r="C1" s="4" t="s">
        <v>6</v>
      </c>
      <c r="D1" s="4" t="s">
        <v>7</v>
      </c>
      <c r="E1" s="4" t="s">
        <v>8</v>
      </c>
      <c r="F1" s="5" t="s">
        <v>19</v>
      </c>
    </row>
    <row r="2" spans="1:6" x14ac:dyDescent="0.3">
      <c r="A2" s="14" t="s">
        <v>13</v>
      </c>
      <c r="B2" s="6">
        <v>3929</v>
      </c>
      <c r="C2" s="6">
        <v>5877</v>
      </c>
      <c r="D2" s="6">
        <v>3270</v>
      </c>
      <c r="E2" s="6">
        <v>5222</v>
      </c>
      <c r="F2" s="5"/>
    </row>
    <row r="3" spans="1:6" x14ac:dyDescent="0.3">
      <c r="A3" s="14" t="s">
        <v>15</v>
      </c>
      <c r="B3" s="6">
        <v>5098</v>
      </c>
      <c r="C3" s="6">
        <v>3846</v>
      </c>
      <c r="D3" s="6">
        <v>5465</v>
      </c>
      <c r="E3" s="6">
        <v>3966</v>
      </c>
      <c r="F3" s="6"/>
    </row>
    <row r="4" spans="1:6" x14ac:dyDescent="0.3">
      <c r="A4" s="15" t="s">
        <v>16</v>
      </c>
      <c r="B4" s="7">
        <v>2928</v>
      </c>
      <c r="C4" s="7">
        <v>4471</v>
      </c>
      <c r="D4" s="7">
        <v>3811</v>
      </c>
      <c r="E4" s="7">
        <v>3323</v>
      </c>
      <c r="F4" s="7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FB7BB-7720-4206-9B5F-20DFE0664402}">
  <dimension ref="A1:E16"/>
  <sheetViews>
    <sheetView tabSelected="1" workbookViewId="0">
      <selection activeCell="B3" sqref="B3"/>
    </sheetView>
  </sheetViews>
  <sheetFormatPr defaultRowHeight="14.4" x14ac:dyDescent="0.3"/>
  <cols>
    <col min="1" max="1" width="14.21875" bestFit="1" customWidth="1"/>
    <col min="2" max="2" width="14.33203125" customWidth="1"/>
    <col min="3" max="6" width="18.21875" customWidth="1"/>
  </cols>
  <sheetData>
    <row r="1" spans="1:5" ht="17.399999999999999" x14ac:dyDescent="0.35">
      <c r="A1" s="16" t="s">
        <v>27</v>
      </c>
      <c r="B1" s="16"/>
      <c r="C1" s="16"/>
      <c r="D1" s="16"/>
      <c r="E1" s="16"/>
    </row>
    <row r="2" spans="1:5" x14ac:dyDescent="0.3">
      <c r="A2" t="s">
        <v>0</v>
      </c>
      <c r="B2" t="s">
        <v>28</v>
      </c>
      <c r="C2" t="s">
        <v>29</v>
      </c>
      <c r="D2" t="s">
        <v>30</v>
      </c>
      <c r="E2" t="s">
        <v>31</v>
      </c>
    </row>
    <row r="3" spans="1:5" x14ac:dyDescent="0.3">
      <c r="A3" t="s">
        <v>15</v>
      </c>
      <c r="B3" s="9">
        <v>704000</v>
      </c>
      <c r="C3" s="9">
        <v>366000</v>
      </c>
      <c r="D3" s="9">
        <v>1027000</v>
      </c>
      <c r="E3" s="9">
        <v>752000</v>
      </c>
    </row>
    <row r="4" spans="1:5" x14ac:dyDescent="0.3">
      <c r="A4" t="s">
        <v>13</v>
      </c>
      <c r="B4" s="9">
        <v>992000</v>
      </c>
      <c r="C4" s="9">
        <v>299000</v>
      </c>
      <c r="D4" s="9">
        <v>427000</v>
      </c>
      <c r="E4" s="9">
        <v>334000</v>
      </c>
    </row>
    <row r="5" spans="1:5" x14ac:dyDescent="0.3">
      <c r="A5" t="s">
        <v>16</v>
      </c>
      <c r="B5" s="9">
        <v>259000</v>
      </c>
      <c r="C5" s="9">
        <v>500000</v>
      </c>
      <c r="D5" s="9">
        <v>796000</v>
      </c>
      <c r="E5" s="9">
        <v>1046000</v>
      </c>
    </row>
    <row r="6" spans="1:5" x14ac:dyDescent="0.3">
      <c r="A6" t="s">
        <v>17</v>
      </c>
      <c r="B6" s="9">
        <f>SUBTOTAL(109,Table46[Qtr1])</f>
        <v>1955000</v>
      </c>
      <c r="C6" s="9">
        <f>SUBTOTAL(109,Table46[Qtr2])</f>
        <v>1165000</v>
      </c>
      <c r="D6" s="9">
        <f>SUBTOTAL(109,Table46[Qtr3])</f>
        <v>2250000</v>
      </c>
      <c r="E6" s="9">
        <f>SUBTOTAL(109,Table46[Qtr4])</f>
        <v>2132000</v>
      </c>
    </row>
    <row r="11" spans="1:5" x14ac:dyDescent="0.3">
      <c r="A11" t="s">
        <v>34</v>
      </c>
    </row>
    <row r="12" spans="1:5" x14ac:dyDescent="0.3">
      <c r="A12" s="10" t="s">
        <v>35</v>
      </c>
      <c r="B12" s="10" t="s">
        <v>28</v>
      </c>
      <c r="C12" s="10" t="s">
        <v>29</v>
      </c>
      <c r="D12" s="10" t="s">
        <v>30</v>
      </c>
      <c r="E12" s="10" t="s">
        <v>31</v>
      </c>
    </row>
    <row r="13" spans="1:5" x14ac:dyDescent="0.3">
      <c r="A13" t="s">
        <v>32</v>
      </c>
      <c r="B13" s="9">
        <v>259000</v>
      </c>
      <c r="C13" s="9">
        <v>500000</v>
      </c>
      <c r="D13" s="9">
        <v>796000</v>
      </c>
      <c r="E13" s="9">
        <v>1046000</v>
      </c>
    </row>
    <row r="14" spans="1:5" x14ac:dyDescent="0.3">
      <c r="A14" t="s">
        <v>14</v>
      </c>
      <c r="B14" s="9">
        <v>497000</v>
      </c>
      <c r="C14" s="9">
        <v>1032000</v>
      </c>
      <c r="D14" s="9">
        <v>961000</v>
      </c>
      <c r="E14" s="9">
        <v>981000</v>
      </c>
    </row>
    <row r="15" spans="1:5" x14ac:dyDescent="0.3">
      <c r="A15" t="s">
        <v>33</v>
      </c>
      <c r="B15" s="9">
        <v>671000</v>
      </c>
      <c r="C15" s="9">
        <v>586000</v>
      </c>
      <c r="D15" s="9">
        <v>448000</v>
      </c>
      <c r="E15" s="9">
        <v>637000</v>
      </c>
    </row>
    <row r="16" spans="1:5" x14ac:dyDescent="0.3">
      <c r="A16" t="s">
        <v>17</v>
      </c>
      <c r="B16" s="9">
        <f>SUBTOTAL(109,Table467[Qtr1])</f>
        <v>1427000</v>
      </c>
      <c r="C16" s="9">
        <f>SUBTOTAL(109,Table467[Qtr2])</f>
        <v>2118000</v>
      </c>
      <c r="D16" s="9">
        <f>SUBTOTAL(109,Table467[Qtr3])</f>
        <v>2205000</v>
      </c>
      <c r="E16" s="9">
        <f>SUBTOTAL(109,Table467[Qtr4])</f>
        <v>2664000</v>
      </c>
    </row>
  </sheetData>
  <mergeCells count="1">
    <mergeCell ref="A1:E1"/>
  </mergeCells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Informatics Exam</vt:lpstr>
      <vt:lpstr>Enrollment</vt:lpstr>
      <vt:lpstr>GMetrix Account</vt:lpstr>
      <vt:lpstr>International Exam</vt:lpstr>
      <vt:lpstr>InformaticsQ1</vt:lpstr>
      <vt:lpstr>ThirdQuarter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 Tran Thai Hoc</dc:creator>
  <cp:lastModifiedBy>Ly Tran Thai Hoc</cp:lastModifiedBy>
  <dcterms:created xsi:type="dcterms:W3CDTF">2025-08-21T10:22:05Z</dcterms:created>
  <dcterms:modified xsi:type="dcterms:W3CDTF">2025-08-22T03:43:05Z</dcterms:modified>
</cp:coreProperties>
</file>